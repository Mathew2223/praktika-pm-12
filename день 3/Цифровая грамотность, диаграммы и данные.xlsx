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Ex1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8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9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Nout5\Desktop\практика\день 3\"/>
    </mc:Choice>
  </mc:AlternateContent>
  <xr:revisionPtr revIDLastSave="0" documentId="8_{5495D167-C296-443B-93C1-DA75CCB57B71}" xr6:coauthVersionLast="47" xr6:coauthVersionMax="47" xr10:uidLastSave="{00000000-0000-0000-0000-000000000000}"/>
  <bookViews>
    <workbookView xWindow="-120" yWindow="-120" windowWidth="20730" windowHeight="11310" activeTab="1" xr2:uid="{00000000-000D-0000-FFFF-FFFF00000000}"/>
  </bookViews>
  <sheets>
    <sheet name="Данные" sheetId="1" r:id="rId1"/>
    <sheet name="Диаграммы" sheetId="3" r:id="rId2"/>
  </sheets>
  <definedNames>
    <definedName name="_xlchart.v2.0" hidden="1">Диаграммы!$AI$2:$AI$4</definedName>
    <definedName name="_xlchart.v2.1" hidden="1">Диаграммы!$AJ$2:$AJ$4</definedName>
    <definedName name="_xlchart.v2.2" hidden="1">Диаграммы!$AI$2:$AI$4</definedName>
    <definedName name="_xlchart.v2.3" hidden="1">Диаграммы!$AJ$2:$AJ$4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O6" i="3" l="1"/>
  <c r="BO5" i="3"/>
  <c r="BO4" i="3"/>
  <c r="BG7" i="3"/>
  <c r="BG6" i="3"/>
  <c r="BG5" i="3"/>
  <c r="BG4" i="3"/>
  <c r="BG3" i="3"/>
  <c r="AY3" i="3"/>
  <c r="AY4" i="3"/>
  <c r="AY5" i="3"/>
  <c r="AP3" i="3"/>
  <c r="AP4" i="3"/>
  <c r="AJ4" i="3"/>
  <c r="AJ3" i="3"/>
  <c r="AJ2" i="3"/>
  <c r="AA5" i="3"/>
  <c r="AA4" i="3"/>
  <c r="AA3" i="3"/>
  <c r="T6" i="3"/>
  <c r="T5" i="3"/>
  <c r="T4" i="3"/>
  <c r="T3" i="3"/>
  <c r="T2" i="3"/>
  <c r="K3" i="3"/>
  <c r="K2" i="3"/>
  <c r="G6" i="3"/>
  <c r="G5" i="3"/>
  <c r="G4" i="3"/>
  <c r="G3" i="3"/>
  <c r="G2" i="3"/>
  <c r="D4" i="3"/>
  <c r="D3" i="3"/>
  <c r="D2" i="3"/>
</calcChain>
</file>

<file path=xl/sharedStrings.xml><?xml version="1.0" encoding="utf-8"?>
<sst xmlns="http://schemas.openxmlformats.org/spreadsheetml/2006/main" count="3271" uniqueCount="47">
  <si>
    <t>ID</t>
  </si>
  <si>
    <t>Регион</t>
  </si>
  <si>
    <t>Населённый пункт</t>
  </si>
  <si>
    <t>Возрастная группа</t>
  </si>
  <si>
    <t>Пол</t>
  </si>
  <si>
    <t>Образование</t>
  </si>
  <si>
    <t>Уровень владения ПК</t>
  </si>
  <si>
    <t>Работа с документами</t>
  </si>
  <si>
    <t>Интернет-безопасность</t>
  </si>
  <si>
    <t>Госуслуги онлайн</t>
  </si>
  <si>
    <t>Облачные сервисы</t>
  </si>
  <si>
    <t>Общий балл</t>
  </si>
  <si>
    <t>Уровень цифровой грамотности</t>
  </si>
  <si>
    <t>Восточный</t>
  </si>
  <si>
    <t>Посёлок</t>
  </si>
  <si>
    <t>18-25</t>
  </si>
  <si>
    <t>М</t>
  </si>
  <si>
    <t>Среднее</t>
  </si>
  <si>
    <t>Высокий</t>
  </si>
  <si>
    <t>Северный</t>
  </si>
  <si>
    <t>46-60</t>
  </si>
  <si>
    <t>Высшее</t>
  </si>
  <si>
    <t>Средний</t>
  </si>
  <si>
    <t>Западный</t>
  </si>
  <si>
    <t>Село</t>
  </si>
  <si>
    <t>Среднее профессиональное</t>
  </si>
  <si>
    <t>Центральный</t>
  </si>
  <si>
    <t>Низкий</t>
  </si>
  <si>
    <t>Южный</t>
  </si>
  <si>
    <t>Город</t>
  </si>
  <si>
    <t>36-45</t>
  </si>
  <si>
    <t>Ж</t>
  </si>
  <si>
    <t>26-35</t>
  </si>
  <si>
    <t>60+</t>
  </si>
  <si>
    <t>Распределение по уровням грамотности</t>
  </si>
  <si>
    <t>Средний балл</t>
  </si>
  <si>
    <t>Количество человек</t>
  </si>
  <si>
    <t>Возраст</t>
  </si>
  <si>
    <t>м</t>
  </si>
  <si>
    <t>ж</t>
  </si>
  <si>
    <t>Женщины</t>
  </si>
  <si>
    <t>Мужчины</t>
  </si>
  <si>
    <t>средний балл</t>
  </si>
  <si>
    <t>пол</t>
  </si>
  <si>
    <t>город</t>
  </si>
  <si>
    <t>село</t>
  </si>
  <si>
    <t>посёлок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</si>
</sst>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3.5"/>
      <color rgb="FF1D1D1F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3" fillId="0" borderId="2" xfId="0" applyFont="1" applyFill="1" applyBorder="1" applyAlignment="1">
      <alignment horizontal="center" vertical="top"/>
    </xf>
    <xf numFmtId="172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Уровень</a:t>
            </a:r>
            <a:r>
              <a:rPr lang="ru-RU" baseline="0"/>
              <a:t> цифровой грамотности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Диаграммы!$C$2:$C$4</c:f>
              <c:strCache>
                <c:ptCount val="3"/>
                <c:pt idx="0">
                  <c:v>Низкий</c:v>
                </c:pt>
                <c:pt idx="1">
                  <c:v>Средний</c:v>
                </c:pt>
                <c:pt idx="2">
                  <c:v>Высокий</c:v>
                </c:pt>
              </c:strCache>
            </c:strRef>
          </c:cat>
          <c:val>
            <c:numRef>
              <c:f>Диаграммы!$D$2:$D$4</c:f>
              <c:numCache>
                <c:formatCode>General</c:formatCode>
                <c:ptCount val="3"/>
                <c:pt idx="0">
                  <c:v>40</c:v>
                </c:pt>
                <c:pt idx="1">
                  <c:v>91</c:v>
                </c:pt>
                <c:pt idx="2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9B-4CDB-A622-C82D897EBD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</a:t>
            </a:r>
            <a:r>
              <a:rPr lang="ru-RU" baseline="0"/>
              <a:t> человек в возрастной группе</a:t>
            </a:r>
            <a:endParaRPr lang="en-US"/>
          </a:p>
        </c:rich>
      </c:tx>
      <c:layout>
        <c:manualLayout>
          <c:xMode val="edge"/>
          <c:yMode val="edge"/>
          <c:x val="0.18875000000000003"/>
          <c:y val="3.70370370370370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Диаграммы!$F$2:$F$6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Диаграммы!$G$2:$G$6</c:f>
              <c:numCache>
                <c:formatCode>General</c:formatCode>
                <c:ptCount val="5"/>
                <c:pt idx="0">
                  <c:v>40</c:v>
                </c:pt>
                <c:pt idx="1">
                  <c:v>38</c:v>
                </c:pt>
                <c:pt idx="2">
                  <c:v>40</c:v>
                </c:pt>
                <c:pt idx="3">
                  <c:v>42</c:v>
                </c:pt>
                <c:pt idx="4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37-4213-AEAA-10A361BFB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0169679"/>
        <c:axId val="1360176399"/>
      </c:barChart>
      <c:catAx>
        <c:axId val="136016967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0176399"/>
        <c:crosses val="autoZero"/>
        <c:auto val="1"/>
        <c:lblAlgn val="ctr"/>
        <c:lblOffset val="100"/>
        <c:noMultiLvlLbl val="0"/>
      </c:catAx>
      <c:valAx>
        <c:axId val="1360176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60169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cap="all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количество</a:t>
            </a:r>
            <a:r>
              <a:rPr lang="ru-RU" baseline="0"/>
              <a:t> человек на пол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cap="all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bg2">
            <a:lumMod val="75000"/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8000"/>
              </a:schemeClr>
            </a:solidFill>
            <a:ln>
              <a:solidFill>
                <a:schemeClr val="accent1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flat">
              <a:contourClr>
                <a:schemeClr val="accent1">
                  <a:lumMod val="50000"/>
                </a:schemeClr>
              </a:contourClr>
            </a:sp3d>
          </c:spPr>
          <c:invertIfNegative val="0"/>
          <c:dLbls>
            <c:spPr>
              <a:solidFill>
                <a:schemeClr val="accent1">
                  <a:alpha val="30000"/>
                </a:schemeClr>
              </a:solidFill>
              <a:ln>
                <a:solidFill>
                  <a:schemeClr val="lt1">
                    <a:alpha val="50000"/>
                  </a:schemeClr>
                </a:solidFill>
                <a:round/>
              </a:ln>
              <a:effectLst>
                <a:outerShdw blurRad="63500" dist="889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Диаграммы!$J$2:$J$3</c:f>
              <c:strCache>
                <c:ptCount val="2"/>
                <c:pt idx="0">
                  <c:v>Мужчины</c:v>
                </c:pt>
                <c:pt idx="1">
                  <c:v>Женщины</c:v>
                </c:pt>
              </c:strCache>
            </c:strRef>
          </c:cat>
          <c:val>
            <c:numRef>
              <c:f>Диаграммы!$K$2:$K$3</c:f>
              <c:numCache>
                <c:formatCode>General</c:formatCode>
                <c:ptCount val="2"/>
                <c:pt idx="0">
                  <c:v>97</c:v>
                </c:pt>
                <c:pt idx="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4D-4C2E-82B1-0D12EB0851B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84"/>
        <c:gapDepth val="53"/>
        <c:shape val="box"/>
        <c:axId val="1356201455"/>
        <c:axId val="1356201935"/>
        <c:axId val="0"/>
      </c:bar3DChart>
      <c:catAx>
        <c:axId val="135620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356201935"/>
        <c:crosses val="autoZero"/>
        <c:auto val="1"/>
        <c:lblAlgn val="ctr"/>
        <c:lblOffset val="100"/>
        <c:noMultiLvlLbl val="0"/>
      </c:catAx>
      <c:valAx>
        <c:axId val="1356201935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5620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6350" cap="flat" cmpd="sng" algn="ctr">
      <a:solidFill>
        <a:schemeClr val="dk1">
          <a:tint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Люди в регионах с баллами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  <a:sp3d/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Диаграммы!$S$2:$S$5</c:f>
              <c:strCache>
                <c:ptCount val="4"/>
                <c:pt idx="0">
                  <c:v>Восточный</c:v>
                </c:pt>
                <c:pt idx="1">
                  <c:v>Северный</c:v>
                </c:pt>
                <c:pt idx="2">
                  <c:v>Южный</c:v>
                </c:pt>
                <c:pt idx="3">
                  <c:v>Центральный</c:v>
                </c:pt>
              </c:strCache>
            </c:strRef>
          </c:cat>
          <c:val>
            <c:numRef>
              <c:f>Диаграммы!$T$2:$T$5</c:f>
              <c:numCache>
                <c:formatCode>General</c:formatCode>
                <c:ptCount val="4"/>
                <c:pt idx="0">
                  <c:v>48</c:v>
                </c:pt>
                <c:pt idx="1">
                  <c:v>43</c:v>
                </c:pt>
                <c:pt idx="2">
                  <c:v>41</c:v>
                </c:pt>
                <c:pt idx="3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BF-4A17-91E8-E52CA172A82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Популярность населенных пунктов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Диаграммы!$Z$3:$Z$5</c:f>
              <c:strCache>
                <c:ptCount val="3"/>
                <c:pt idx="0">
                  <c:v>Город</c:v>
                </c:pt>
                <c:pt idx="1">
                  <c:v>Село</c:v>
                </c:pt>
                <c:pt idx="2">
                  <c:v>Посёлок</c:v>
                </c:pt>
              </c:strCache>
            </c:strRef>
          </c:cat>
          <c:val>
            <c:numRef>
              <c:f>Диаграммы!$AA$3:$AA$5</c:f>
              <c:numCache>
                <c:formatCode>General</c:formatCode>
                <c:ptCount val="3"/>
                <c:pt idx="0">
                  <c:v>62</c:v>
                </c:pt>
                <c:pt idx="1">
                  <c:v>67</c:v>
                </c:pt>
                <c:pt idx="2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98-4FF5-AFCC-2C89437AFF23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Средний балл по полу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Диаграммы!$AO$3:$AO$4</c:f>
              <c:strCache>
                <c:ptCount val="2"/>
                <c:pt idx="0">
                  <c:v>м</c:v>
                </c:pt>
                <c:pt idx="1">
                  <c:v>ж</c:v>
                </c:pt>
              </c:strCache>
            </c:strRef>
          </c:cat>
          <c:val>
            <c:numRef>
              <c:f>Диаграммы!$AP$3:$AP$4</c:f>
              <c:numCache>
                <c:formatCode>0.0</c:formatCode>
                <c:ptCount val="2"/>
                <c:pt idx="0">
                  <c:v>71.791752577319585</c:v>
                </c:pt>
                <c:pt idx="1">
                  <c:v>72.588349514563106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C2-48DB-BAD0-581FB7BD7E7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</a:t>
            </a:r>
            <a:r>
              <a:rPr lang="ru-RU" baseline="0"/>
              <a:t> балл по пункту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tint val="50000"/>
                    <a:satMod val="300000"/>
                  </a:schemeClr>
                </a:gs>
                <a:gs pos="35000">
                  <a:schemeClr val="accent1">
                    <a:tint val="37000"/>
                    <a:satMod val="300000"/>
                  </a:schemeClr>
                </a:gs>
                <a:gs pos="100000">
                  <a:schemeClr val="accent1">
                    <a:tint val="15000"/>
                    <a:satMod val="350000"/>
                  </a:schemeClr>
                </a:gs>
              </a:gsLst>
              <a:lin ang="16200000" scaled="1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Диаграммы!$AX$3:$AX$5</c:f>
              <c:strCache>
                <c:ptCount val="3"/>
                <c:pt idx="0">
                  <c:v>город</c:v>
                </c:pt>
                <c:pt idx="1">
                  <c:v>село</c:v>
                </c:pt>
                <c:pt idx="2">
                  <c:v>посёлок</c:v>
                </c:pt>
              </c:strCache>
            </c:strRef>
          </c:cat>
          <c:val>
            <c:numRef>
              <c:f>Диаграммы!$AY$3:$AY$5</c:f>
              <c:numCache>
                <c:formatCode>0.0</c:formatCode>
                <c:ptCount val="3"/>
                <c:pt idx="0">
                  <c:v>71.196774193548407</c:v>
                </c:pt>
                <c:pt idx="1">
                  <c:v>74.086567164179087</c:v>
                </c:pt>
                <c:pt idx="2">
                  <c:v>71.301408450704216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D3-4CD1-A831-83C8442799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8574527"/>
        <c:axId val="1458567807"/>
      </c:areaChart>
      <c:catAx>
        <c:axId val="1458574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8567807"/>
        <c:crosses val="autoZero"/>
        <c:auto val="1"/>
        <c:lblAlgn val="ctr"/>
        <c:lblOffset val="100"/>
        <c:noMultiLvlLbl val="0"/>
      </c:catAx>
      <c:valAx>
        <c:axId val="145856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5857452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</a:t>
            </a:r>
            <a:r>
              <a:rPr lang="ru-RU" baseline="0"/>
              <a:t> БАЛЛ ПО ВОЗРАСТУ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Диаграммы!$BF$3:$BF$7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46-60</c:v>
                </c:pt>
                <c:pt idx="4">
                  <c:v>60+</c:v>
                </c:pt>
              </c:strCache>
            </c:strRef>
          </c:cat>
          <c:val>
            <c:numRef>
              <c:f>Диаграммы!$BG$3:$BG$7</c:f>
              <c:numCache>
                <c:formatCode>0.0</c:formatCode>
                <c:ptCount val="5"/>
                <c:pt idx="0">
                  <c:v>87.135000000000005</c:v>
                </c:pt>
                <c:pt idx="1">
                  <c:v>82.915789473684228</c:v>
                </c:pt>
                <c:pt idx="2">
                  <c:v>72.675000000000026</c:v>
                </c:pt>
                <c:pt idx="3">
                  <c:v>65.066666666666677</c:v>
                </c:pt>
                <c:pt idx="4">
                  <c:v>54.109999999999992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4A-4E04-B539-12E87A8CF999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ru-RU"/>
              <a:t>Средний</a:t>
            </a:r>
            <a:r>
              <a:rPr lang="ru-RU" baseline="0"/>
              <a:t> балл  по образованию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percentStack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Диаграммы!$BN$4:$BN$6</c:f>
              <c:strCache>
                <c:ptCount val="3"/>
                <c:pt idx="0">
                  <c:v>Среднее</c:v>
                </c:pt>
                <c:pt idx="1">
                  <c:v>Высшее</c:v>
                </c:pt>
                <c:pt idx="2">
                  <c:v>Среднее профессиональное</c:v>
                </c:pt>
              </c:strCache>
            </c:strRef>
          </c:cat>
          <c:val>
            <c:numRef>
              <c:f>Диаграммы!$BO$4:$BO$6</c:f>
              <c:numCache>
                <c:formatCode>0.0</c:formatCode>
                <c:ptCount val="3"/>
                <c:pt idx="0">
                  <c:v>68.104477611940311</c:v>
                </c:pt>
                <c:pt idx="1">
                  <c:v>74.936231884057975</c:v>
                </c:pt>
                <c:pt idx="2">
                  <c:v>73.543750000000003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E-4B06-A867-ECDAAF8030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60106655"/>
        <c:axId val="1460109535"/>
        <c:axId val="0"/>
      </c:bar3DChart>
      <c:catAx>
        <c:axId val="1460106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109535"/>
        <c:crosses val="autoZero"/>
        <c:auto val="1"/>
        <c:lblAlgn val="ctr"/>
        <c:lblOffset val="100"/>
        <c:noMultiLvlLbl val="0"/>
      </c:catAx>
      <c:valAx>
        <c:axId val="146010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460106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Образование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ru-RU" sz="1800" b="1" i="0" u="none" strike="noStrike" baseline="0">
              <a:solidFill>
                <a:sysClr val="windowText" lastClr="000000">
                  <a:lumMod val="75000"/>
                  <a:lumOff val="25000"/>
                </a:sysClr>
              </a:solidFill>
              <a:latin typeface="Calibri"/>
            </a:rPr>
            <a:t>Образование</a:t>
          </a:r>
        </a:p>
      </cx:txPr>
    </cx:title>
    <cx:plotArea>
      <cx:plotAreaRegion>
        <cx:series layoutId="funnel" uniqueId="{629149B8-FD4B-4207-9D98-D5EFB0BC7D67}">
          <cx:dataLabels>
            <cx:visibility seriesName="0" categoryName="0" value="1"/>
          </cx:dataLabels>
          <cx:dataId val="0"/>
        </cx:series>
      </cx:plotAreaRegion>
      <cx:axis id="1">
        <cx:catScaling gapWidth="0.150000006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1">
  <cs:axisTitle>
    <cs:lnRef idx="0"/>
    <cs:fillRef idx="0"/>
    <cs:effectRef idx="0"/>
    <cs:fontRef idx="minor">
      <a:schemeClr val="lt1">
        <a:lumMod val="7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6350" cap="flat" cmpd="sng" algn="ctr">
        <a:solidFill>
          <a:schemeClr val="dk1">
            <a:tint val="75000"/>
          </a:schemeClr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</cs:dataLabel>
  <cs:dataLabelCallout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30000"/>
        </a:schemeClr>
      </a:solidFill>
      <a:ln>
        <a:solidFill>
          <a:schemeClr val="lt1">
            <a:alpha val="50000"/>
          </a:schemeClr>
        </a:solidFill>
        <a:round/>
      </a:ln>
      <a:effectLst>
        <a:outerShdw blurRad="63500" dist="88900" dir="2700000" algn="tl" rotWithShape="0">
          <a:prstClr val="black">
            <a:alpha val="40000"/>
          </a:prstClr>
        </a:outerShdw>
      </a:effectLst>
    </cs:spPr>
    <cs:defRPr sz="9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>
          <a:alpha val="88000"/>
        </a:schemeClr>
      </a:solidFill>
      <a:ln>
        <a:solidFill>
          <a:schemeClr val="phClr">
            <a:lumMod val="50000"/>
          </a:schemeClr>
        </a:solidFill>
      </a:ln>
      <a:scene3d>
        <a:camera prst="orthographicFront"/>
        <a:lightRig rig="threePt" dir="t"/>
      </a:scene3d>
      <a:sp3d prstMaterial="flat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dk1">
            <a:lumMod val="75000"/>
            <a:lumOff val="2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bg2">
          <a:lumMod val="75000"/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>
        <a:solidFill>
          <a:schemeClr val="lt1">
            <a:lumMod val="50000"/>
          </a:schemeClr>
        </a:solidFill>
      </a:ln>
    </cs:spPr>
  </cs:gridlineMajor>
  <cs:gridlineMinor>
    <cs:lnRef idx="0"/>
    <cs:fillRef idx="0"/>
    <cs:effectRef idx="0"/>
    <cs:fontRef idx="minor">
      <a:schemeClr val="tx1"/>
    </cs:fontRef>
    <cs:spPr>
      <a:ln w="9525">
        <a:solidFill>
          <a:schemeClr val="lt1">
            <a:lumMod val="40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/>
    </cs:fontRef>
    <cs:defRPr sz="1800" b="0" kern="1200" cap="all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80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14/relationships/chartEx" Target="../charts/chartEx1.xml"/><Relationship Id="rId5" Type="http://schemas.openxmlformats.org/officeDocument/2006/relationships/chart" Target="../charts/chart5.xml"/><Relationship Id="rId10" Type="http://schemas.openxmlformats.org/officeDocument/2006/relationships/chart" Target="../charts/chart9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445594</xdr:colOff>
      <xdr:row>1</xdr:row>
      <xdr:rowOff>181334</xdr:rowOff>
    </xdr:from>
    <xdr:to>
      <xdr:col>2</xdr:col>
      <xdr:colOff>419554</xdr:colOff>
      <xdr:row>18</xdr:row>
      <xdr:rowOff>56695</xdr:rowOff>
    </xdr:to>
    <xdr:graphicFrame macro="">
      <xdr:nvGraphicFramePr>
        <xdr:cNvPr id="7" name="Диаграмма 6">
          <a:extLst>
            <a:ext uri="{FF2B5EF4-FFF2-40B4-BE49-F238E27FC236}">
              <a16:creationId xmlns:a16="http://schemas.microsoft.com/office/drawing/2014/main" id="{9EE0A6B5-B10E-E119-5C41-72B27DF08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11340</xdr:colOff>
      <xdr:row>1</xdr:row>
      <xdr:rowOff>28801</xdr:rowOff>
    </xdr:from>
    <xdr:to>
      <xdr:col>7</xdr:col>
      <xdr:colOff>1248456</xdr:colOff>
      <xdr:row>18</xdr:row>
      <xdr:rowOff>11338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38263B9C-E434-2847-2033-D92C47F154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90714</xdr:colOff>
      <xdr:row>1</xdr:row>
      <xdr:rowOff>6122</xdr:rowOff>
    </xdr:from>
    <xdr:to>
      <xdr:col>16</xdr:col>
      <xdr:colOff>148544</xdr:colOff>
      <xdr:row>17</xdr:row>
      <xdr:rowOff>136071</xdr:rowOff>
    </xdr:to>
    <xdr:graphicFrame macro="">
      <xdr:nvGraphicFramePr>
        <xdr:cNvPr id="9" name="Диаграмма 8">
          <a:extLst>
            <a:ext uri="{FF2B5EF4-FFF2-40B4-BE49-F238E27FC236}">
              <a16:creationId xmlns:a16="http://schemas.microsoft.com/office/drawing/2014/main" id="{0CFA1946-94B3-F766-1820-BFC741250D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486453</xdr:colOff>
      <xdr:row>1</xdr:row>
      <xdr:rowOff>28801</xdr:rowOff>
    </xdr:from>
    <xdr:to>
      <xdr:col>23</xdr:col>
      <xdr:colOff>544286</xdr:colOff>
      <xdr:row>17</xdr:row>
      <xdr:rowOff>113393</xdr:rowOff>
    </xdr:to>
    <xdr:graphicFrame macro="">
      <xdr:nvGraphicFramePr>
        <xdr:cNvPr id="10" name="Диаграмма 9">
          <a:extLst>
            <a:ext uri="{FF2B5EF4-FFF2-40B4-BE49-F238E27FC236}">
              <a16:creationId xmlns:a16="http://schemas.microsoft.com/office/drawing/2014/main" id="{C128076B-5C6C-49DB-1DF6-44E02886E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146275</xdr:colOff>
      <xdr:row>0</xdr:row>
      <xdr:rowOff>187551</xdr:rowOff>
    </xdr:from>
    <xdr:to>
      <xdr:col>32</xdr:col>
      <xdr:colOff>158750</xdr:colOff>
      <xdr:row>17</xdr:row>
      <xdr:rowOff>113393</xdr:rowOff>
    </xdr:to>
    <xdr:graphicFrame macro="">
      <xdr:nvGraphicFramePr>
        <xdr:cNvPr id="12" name="Диаграмма 11">
          <a:extLst>
            <a:ext uri="{FF2B5EF4-FFF2-40B4-BE49-F238E27FC236}">
              <a16:creationId xmlns:a16="http://schemas.microsoft.com/office/drawing/2014/main" id="{8E1EE303-4A14-194A-C46C-10B855480B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32</xdr:col>
      <xdr:colOff>531811</xdr:colOff>
      <xdr:row>0</xdr:row>
      <xdr:rowOff>142194</xdr:rowOff>
    </xdr:from>
    <xdr:to>
      <xdr:col>37</xdr:col>
      <xdr:colOff>226785</xdr:colOff>
      <xdr:row>19</xdr:row>
      <xdr:rowOff>124731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13" name="Диаграмма 12">
              <a:extLst>
                <a:ext uri="{FF2B5EF4-FFF2-40B4-BE49-F238E27FC236}">
                  <a16:creationId xmlns:a16="http://schemas.microsoft.com/office/drawing/2014/main" id="{DAD12A9E-C889-0F85-22D7-A4AC1AE5DE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7938865" y="142194"/>
              <a:ext cx="5217206" cy="3667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диаграмма недоступна в вашей версии Excel.
Изменение этой фигуры или сохранение книги в другом формате приведет к остаточному повреждению диаграммы.</a:t>
              </a:r>
            </a:p>
          </xdr:txBody>
        </xdr:sp>
      </mc:Fallback>
    </mc:AlternateContent>
    <xdr:clientData/>
  </xdr:twoCellAnchor>
  <xdr:twoCellAnchor>
    <xdr:from>
      <xdr:col>37</xdr:col>
      <xdr:colOff>429758</xdr:colOff>
      <xdr:row>1</xdr:row>
      <xdr:rowOff>34018</xdr:rowOff>
    </xdr:from>
    <xdr:to>
      <xdr:col>47</xdr:col>
      <xdr:colOff>11339</xdr:colOff>
      <xdr:row>18</xdr:row>
      <xdr:rowOff>68036</xdr:rowOff>
    </xdr:to>
    <xdr:graphicFrame macro="">
      <xdr:nvGraphicFramePr>
        <xdr:cNvPr id="15" name="Диаграмма 14">
          <a:extLst>
            <a:ext uri="{FF2B5EF4-FFF2-40B4-BE49-F238E27FC236}">
              <a16:creationId xmlns:a16="http://schemas.microsoft.com/office/drawing/2014/main" id="{614D9373-DD65-3DE9-371C-8CA7010761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47</xdr:col>
      <xdr:colOff>89578</xdr:colOff>
      <xdr:row>1</xdr:row>
      <xdr:rowOff>74159</xdr:rowOff>
    </xdr:from>
    <xdr:to>
      <xdr:col>54</xdr:col>
      <xdr:colOff>238124</xdr:colOff>
      <xdr:row>17</xdr:row>
      <xdr:rowOff>181429</xdr:rowOff>
    </xdr:to>
    <xdr:graphicFrame macro="">
      <xdr:nvGraphicFramePr>
        <xdr:cNvPr id="16" name="Диаграмма 15">
          <a:extLst>
            <a:ext uri="{FF2B5EF4-FFF2-40B4-BE49-F238E27FC236}">
              <a16:creationId xmlns:a16="http://schemas.microsoft.com/office/drawing/2014/main" id="{5D561DBE-51E1-6602-DFBE-D4B019E0E7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54</xdr:col>
      <xdr:colOff>327705</xdr:colOff>
      <xdr:row>1</xdr:row>
      <xdr:rowOff>85498</xdr:rowOff>
    </xdr:from>
    <xdr:to>
      <xdr:col>62</xdr:col>
      <xdr:colOff>124732</xdr:colOff>
      <xdr:row>17</xdr:row>
      <xdr:rowOff>136072</xdr:rowOff>
    </xdr:to>
    <xdr:graphicFrame macro="">
      <xdr:nvGraphicFramePr>
        <xdr:cNvPr id="17" name="Диаграмма 16">
          <a:extLst>
            <a:ext uri="{FF2B5EF4-FFF2-40B4-BE49-F238E27FC236}">
              <a16:creationId xmlns:a16="http://schemas.microsoft.com/office/drawing/2014/main" id="{362BBC31-56E3-9190-BB99-3F9DC526A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62</xdr:col>
      <xdr:colOff>293685</xdr:colOff>
      <xdr:row>1</xdr:row>
      <xdr:rowOff>108177</xdr:rowOff>
    </xdr:from>
    <xdr:to>
      <xdr:col>66</xdr:col>
      <xdr:colOff>498927</xdr:colOff>
      <xdr:row>17</xdr:row>
      <xdr:rowOff>79375</xdr:rowOff>
    </xdr:to>
    <xdr:graphicFrame macro="">
      <xdr:nvGraphicFramePr>
        <xdr:cNvPr id="18" name="Диаграмма 17">
          <a:extLst>
            <a:ext uri="{FF2B5EF4-FFF2-40B4-BE49-F238E27FC236}">
              <a16:creationId xmlns:a16="http://schemas.microsoft.com/office/drawing/2014/main" id="{68E5D8E8-8D92-BA9E-4650-285EBE41E6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1"/>
  <sheetViews>
    <sheetView workbookViewId="0">
      <selection activeCell="F1" sqref="F1:F1048576"/>
    </sheetView>
  </sheetViews>
  <sheetFormatPr defaultRowHeight="15" x14ac:dyDescent="0.25"/>
  <cols>
    <col min="1" max="1" width="4" bestFit="1" customWidth="1"/>
    <col min="2" max="2" width="13.7109375" bestFit="1" customWidth="1"/>
    <col min="3" max="3" width="18.42578125" bestFit="1" customWidth="1"/>
    <col min="4" max="4" width="18" bestFit="1" customWidth="1"/>
    <col min="5" max="5" width="4.5703125" bestFit="1" customWidth="1"/>
    <col min="6" max="6" width="27.5703125" bestFit="1" customWidth="1"/>
    <col min="7" max="7" width="21.140625" bestFit="1" customWidth="1"/>
    <col min="8" max="8" width="22.28515625" bestFit="1" customWidth="1"/>
    <col min="9" max="9" width="23.28515625" bestFit="1" customWidth="1"/>
    <col min="10" max="10" width="17" bestFit="1" customWidth="1"/>
    <col min="11" max="11" width="19" bestFit="1" customWidth="1"/>
    <col min="12" max="12" width="12.42578125" bestFit="1" customWidth="1"/>
    <col min="13" max="13" width="31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84</v>
      </c>
      <c r="H2">
        <v>77</v>
      </c>
      <c r="I2">
        <v>87</v>
      </c>
      <c r="J2">
        <v>88</v>
      </c>
      <c r="K2">
        <v>84</v>
      </c>
      <c r="L2">
        <v>84</v>
      </c>
      <c r="M2" t="s">
        <v>18</v>
      </c>
    </row>
    <row r="3" spans="1:13" x14ac:dyDescent="0.25">
      <c r="A3">
        <v>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>
        <v>72</v>
      </c>
      <c r="H3">
        <v>87</v>
      </c>
      <c r="I3">
        <v>96</v>
      </c>
      <c r="J3">
        <v>91</v>
      </c>
      <c r="K3">
        <v>86</v>
      </c>
      <c r="L3">
        <v>86.4</v>
      </c>
      <c r="M3" t="s">
        <v>18</v>
      </c>
    </row>
    <row r="4" spans="1:13" x14ac:dyDescent="0.25">
      <c r="A4">
        <v>3</v>
      </c>
      <c r="B4" t="s">
        <v>19</v>
      </c>
      <c r="C4" t="s">
        <v>14</v>
      </c>
      <c r="D4" t="s">
        <v>20</v>
      </c>
      <c r="E4" t="s">
        <v>16</v>
      </c>
      <c r="F4" t="s">
        <v>21</v>
      </c>
      <c r="G4">
        <v>66</v>
      </c>
      <c r="H4">
        <v>89</v>
      </c>
      <c r="I4">
        <v>70</v>
      </c>
      <c r="J4">
        <v>64</v>
      </c>
      <c r="K4">
        <v>62</v>
      </c>
      <c r="L4">
        <v>70.2</v>
      </c>
      <c r="M4" t="s">
        <v>22</v>
      </c>
    </row>
    <row r="5" spans="1:13" x14ac:dyDescent="0.25">
      <c r="A5">
        <v>4</v>
      </c>
      <c r="B5" t="s">
        <v>23</v>
      </c>
      <c r="C5" t="s">
        <v>24</v>
      </c>
      <c r="D5" t="s">
        <v>15</v>
      </c>
      <c r="E5" t="s">
        <v>16</v>
      </c>
      <c r="F5" t="s">
        <v>25</v>
      </c>
      <c r="G5">
        <v>91</v>
      </c>
      <c r="H5">
        <v>100</v>
      </c>
      <c r="I5">
        <v>99</v>
      </c>
      <c r="J5">
        <v>73</v>
      </c>
      <c r="K5">
        <v>76</v>
      </c>
      <c r="L5">
        <v>87.8</v>
      </c>
      <c r="M5" t="s">
        <v>18</v>
      </c>
    </row>
    <row r="6" spans="1:13" x14ac:dyDescent="0.25">
      <c r="A6">
        <v>5</v>
      </c>
      <c r="B6" t="s">
        <v>26</v>
      </c>
      <c r="C6" t="s">
        <v>24</v>
      </c>
      <c r="D6" t="s">
        <v>20</v>
      </c>
      <c r="E6" t="s">
        <v>16</v>
      </c>
      <c r="F6" t="s">
        <v>17</v>
      </c>
      <c r="G6">
        <v>44</v>
      </c>
      <c r="H6">
        <v>55</v>
      </c>
      <c r="I6">
        <v>47</v>
      </c>
      <c r="J6">
        <v>48</v>
      </c>
      <c r="K6">
        <v>48</v>
      </c>
      <c r="L6">
        <v>48.4</v>
      </c>
      <c r="M6" t="s">
        <v>27</v>
      </c>
    </row>
    <row r="7" spans="1:13" x14ac:dyDescent="0.25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17</v>
      </c>
      <c r="G7">
        <v>64</v>
      </c>
      <c r="H7">
        <v>84</v>
      </c>
      <c r="I7">
        <v>56</v>
      </c>
      <c r="J7">
        <v>63</v>
      </c>
      <c r="K7">
        <v>79</v>
      </c>
      <c r="L7">
        <v>69.2</v>
      </c>
      <c r="M7" t="s">
        <v>22</v>
      </c>
    </row>
    <row r="8" spans="1:13" x14ac:dyDescent="0.25">
      <c r="A8">
        <v>7</v>
      </c>
      <c r="B8" t="s">
        <v>19</v>
      </c>
      <c r="C8" t="s">
        <v>29</v>
      </c>
      <c r="D8" t="s">
        <v>30</v>
      </c>
      <c r="E8" t="s">
        <v>31</v>
      </c>
      <c r="F8" t="s">
        <v>17</v>
      </c>
      <c r="G8">
        <v>64</v>
      </c>
      <c r="H8">
        <v>58</v>
      </c>
      <c r="I8">
        <v>70</v>
      </c>
      <c r="J8">
        <v>68</v>
      </c>
      <c r="K8">
        <v>63</v>
      </c>
      <c r="L8">
        <v>64.599999999999994</v>
      </c>
      <c r="M8" t="s">
        <v>22</v>
      </c>
    </row>
    <row r="9" spans="1:13" x14ac:dyDescent="0.25">
      <c r="A9">
        <v>8</v>
      </c>
      <c r="B9" t="s">
        <v>26</v>
      </c>
      <c r="C9" t="s">
        <v>29</v>
      </c>
      <c r="D9" t="s">
        <v>20</v>
      </c>
      <c r="E9" t="s">
        <v>16</v>
      </c>
      <c r="F9" t="s">
        <v>25</v>
      </c>
      <c r="G9">
        <v>55</v>
      </c>
      <c r="H9">
        <v>79</v>
      </c>
      <c r="I9">
        <v>64</v>
      </c>
      <c r="J9">
        <v>50</v>
      </c>
      <c r="K9">
        <v>59</v>
      </c>
      <c r="L9">
        <v>61.4</v>
      </c>
      <c r="M9" t="s">
        <v>22</v>
      </c>
    </row>
    <row r="10" spans="1:13" x14ac:dyDescent="0.25">
      <c r="A10">
        <v>9</v>
      </c>
      <c r="B10" t="s">
        <v>23</v>
      </c>
      <c r="C10" t="s">
        <v>24</v>
      </c>
      <c r="D10" t="s">
        <v>30</v>
      </c>
      <c r="E10" t="s">
        <v>31</v>
      </c>
      <c r="F10" t="s">
        <v>25</v>
      </c>
      <c r="G10">
        <v>74</v>
      </c>
      <c r="H10">
        <v>81</v>
      </c>
      <c r="I10">
        <v>94</v>
      </c>
      <c r="J10">
        <v>67</v>
      </c>
      <c r="K10">
        <v>69</v>
      </c>
      <c r="L10">
        <v>77</v>
      </c>
      <c r="M10" t="s">
        <v>22</v>
      </c>
    </row>
    <row r="11" spans="1:13" x14ac:dyDescent="0.25">
      <c r="A11">
        <v>10</v>
      </c>
      <c r="B11" t="s">
        <v>23</v>
      </c>
      <c r="C11" t="s">
        <v>24</v>
      </c>
      <c r="D11" t="s">
        <v>32</v>
      </c>
      <c r="E11" t="s">
        <v>31</v>
      </c>
      <c r="F11" t="s">
        <v>25</v>
      </c>
      <c r="G11">
        <v>96</v>
      </c>
      <c r="H11">
        <v>93</v>
      </c>
      <c r="I11">
        <v>95</v>
      </c>
      <c r="J11">
        <v>66</v>
      </c>
      <c r="K11">
        <v>78</v>
      </c>
      <c r="L11">
        <v>85.6</v>
      </c>
      <c r="M11" t="s">
        <v>18</v>
      </c>
    </row>
    <row r="12" spans="1:13" x14ac:dyDescent="0.25">
      <c r="A12">
        <v>11</v>
      </c>
      <c r="B12" t="s">
        <v>19</v>
      </c>
      <c r="C12" t="s">
        <v>24</v>
      </c>
      <c r="D12" t="s">
        <v>30</v>
      </c>
      <c r="E12" t="s">
        <v>31</v>
      </c>
      <c r="F12" t="s">
        <v>17</v>
      </c>
      <c r="G12">
        <v>77</v>
      </c>
      <c r="H12">
        <v>71</v>
      </c>
      <c r="I12">
        <v>55</v>
      </c>
      <c r="J12">
        <v>72</v>
      </c>
      <c r="K12">
        <v>75</v>
      </c>
      <c r="L12">
        <v>70</v>
      </c>
      <c r="M12" t="s">
        <v>22</v>
      </c>
    </row>
    <row r="13" spans="1:13" x14ac:dyDescent="0.25">
      <c r="A13">
        <v>12</v>
      </c>
      <c r="B13" t="s">
        <v>13</v>
      </c>
      <c r="C13" t="s">
        <v>29</v>
      </c>
      <c r="D13" t="s">
        <v>33</v>
      </c>
      <c r="E13" t="s">
        <v>16</v>
      </c>
      <c r="F13" t="s">
        <v>17</v>
      </c>
      <c r="G13">
        <v>45</v>
      </c>
      <c r="H13">
        <v>39</v>
      </c>
      <c r="I13">
        <v>58</v>
      </c>
      <c r="J13">
        <v>42</v>
      </c>
      <c r="K13">
        <v>51</v>
      </c>
      <c r="L13">
        <v>47</v>
      </c>
      <c r="M13" t="s">
        <v>27</v>
      </c>
    </row>
    <row r="14" spans="1:13" x14ac:dyDescent="0.25">
      <c r="A14">
        <v>13</v>
      </c>
      <c r="B14" t="s">
        <v>28</v>
      </c>
      <c r="C14" t="s">
        <v>24</v>
      </c>
      <c r="D14" t="s">
        <v>33</v>
      </c>
      <c r="E14" t="s">
        <v>16</v>
      </c>
      <c r="F14" t="s">
        <v>25</v>
      </c>
      <c r="G14">
        <v>54</v>
      </c>
      <c r="H14">
        <v>43</v>
      </c>
      <c r="I14">
        <v>51</v>
      </c>
      <c r="J14">
        <v>58</v>
      </c>
      <c r="K14">
        <v>68</v>
      </c>
      <c r="L14">
        <v>54.8</v>
      </c>
      <c r="M14" t="s">
        <v>27</v>
      </c>
    </row>
    <row r="15" spans="1:13" x14ac:dyDescent="0.25">
      <c r="A15">
        <v>14</v>
      </c>
      <c r="B15" t="s">
        <v>19</v>
      </c>
      <c r="C15" t="s">
        <v>14</v>
      </c>
      <c r="D15" t="s">
        <v>33</v>
      </c>
      <c r="E15" t="s">
        <v>16</v>
      </c>
      <c r="F15" t="s">
        <v>17</v>
      </c>
      <c r="G15">
        <v>50</v>
      </c>
      <c r="H15">
        <v>55</v>
      </c>
      <c r="I15">
        <v>43</v>
      </c>
      <c r="J15">
        <v>41</v>
      </c>
      <c r="K15">
        <v>39</v>
      </c>
      <c r="L15">
        <v>45.6</v>
      </c>
      <c r="M15" t="s">
        <v>27</v>
      </c>
    </row>
    <row r="16" spans="1:13" x14ac:dyDescent="0.25">
      <c r="A16">
        <v>15</v>
      </c>
      <c r="B16" t="s">
        <v>28</v>
      </c>
      <c r="C16" t="s">
        <v>29</v>
      </c>
      <c r="D16" t="s">
        <v>33</v>
      </c>
      <c r="E16" t="s">
        <v>16</v>
      </c>
      <c r="F16" t="s">
        <v>21</v>
      </c>
      <c r="G16">
        <v>69</v>
      </c>
      <c r="H16">
        <v>51</v>
      </c>
      <c r="I16">
        <v>53</v>
      </c>
      <c r="J16">
        <v>58</v>
      </c>
      <c r="K16">
        <v>39</v>
      </c>
      <c r="L16">
        <v>54</v>
      </c>
      <c r="M16" t="s">
        <v>27</v>
      </c>
    </row>
    <row r="17" spans="1:13" x14ac:dyDescent="0.25">
      <c r="A17">
        <v>16</v>
      </c>
      <c r="B17" t="s">
        <v>13</v>
      </c>
      <c r="C17" t="s">
        <v>29</v>
      </c>
      <c r="D17" t="s">
        <v>32</v>
      </c>
      <c r="E17" t="s">
        <v>16</v>
      </c>
      <c r="F17" t="s">
        <v>21</v>
      </c>
      <c r="G17">
        <v>100</v>
      </c>
      <c r="H17">
        <v>91</v>
      </c>
      <c r="I17">
        <v>86</v>
      </c>
      <c r="J17">
        <v>84</v>
      </c>
      <c r="K17">
        <v>88</v>
      </c>
      <c r="L17">
        <v>89.8</v>
      </c>
      <c r="M17" t="s">
        <v>18</v>
      </c>
    </row>
    <row r="18" spans="1:13" x14ac:dyDescent="0.25">
      <c r="A18">
        <v>17</v>
      </c>
      <c r="B18" t="s">
        <v>19</v>
      </c>
      <c r="C18" t="s">
        <v>24</v>
      </c>
      <c r="D18" t="s">
        <v>20</v>
      </c>
      <c r="E18" t="s">
        <v>31</v>
      </c>
      <c r="F18" t="s">
        <v>21</v>
      </c>
      <c r="G18">
        <v>76</v>
      </c>
      <c r="H18">
        <v>80</v>
      </c>
      <c r="I18">
        <v>49</v>
      </c>
      <c r="J18">
        <v>53</v>
      </c>
      <c r="K18">
        <v>85</v>
      </c>
      <c r="L18">
        <v>68.599999999999994</v>
      </c>
      <c r="M18" t="s">
        <v>22</v>
      </c>
    </row>
    <row r="19" spans="1:13" x14ac:dyDescent="0.25">
      <c r="A19">
        <v>18</v>
      </c>
      <c r="B19" t="s">
        <v>19</v>
      </c>
      <c r="C19" t="s">
        <v>29</v>
      </c>
      <c r="D19" t="s">
        <v>20</v>
      </c>
      <c r="E19" t="s">
        <v>31</v>
      </c>
      <c r="F19" t="s">
        <v>21</v>
      </c>
      <c r="G19">
        <v>62</v>
      </c>
      <c r="H19">
        <v>63</v>
      </c>
      <c r="I19">
        <v>61</v>
      </c>
      <c r="J19">
        <v>64</v>
      </c>
      <c r="K19">
        <v>69</v>
      </c>
      <c r="L19">
        <v>63.8</v>
      </c>
      <c r="M19" t="s">
        <v>22</v>
      </c>
    </row>
    <row r="20" spans="1:13" x14ac:dyDescent="0.25">
      <c r="A20">
        <v>19</v>
      </c>
      <c r="B20" t="s">
        <v>26</v>
      </c>
      <c r="C20" t="s">
        <v>14</v>
      </c>
      <c r="D20" t="s">
        <v>15</v>
      </c>
      <c r="E20" t="s">
        <v>16</v>
      </c>
      <c r="F20" t="s">
        <v>21</v>
      </c>
      <c r="G20">
        <v>80</v>
      </c>
      <c r="H20">
        <v>88</v>
      </c>
      <c r="I20">
        <v>100</v>
      </c>
      <c r="J20">
        <v>93</v>
      </c>
      <c r="K20">
        <v>96</v>
      </c>
      <c r="L20">
        <v>91.4</v>
      </c>
      <c r="M20" t="s">
        <v>18</v>
      </c>
    </row>
    <row r="21" spans="1:13" x14ac:dyDescent="0.25">
      <c r="A21">
        <v>20</v>
      </c>
      <c r="B21" t="s">
        <v>13</v>
      </c>
      <c r="C21" t="s">
        <v>24</v>
      </c>
      <c r="D21" t="s">
        <v>33</v>
      </c>
      <c r="E21" t="s">
        <v>31</v>
      </c>
      <c r="F21" t="s">
        <v>17</v>
      </c>
      <c r="G21">
        <v>51</v>
      </c>
      <c r="H21">
        <v>47</v>
      </c>
      <c r="I21">
        <v>61</v>
      </c>
      <c r="J21">
        <v>34</v>
      </c>
      <c r="K21">
        <v>46</v>
      </c>
      <c r="L21">
        <v>47.8</v>
      </c>
      <c r="M21" t="s">
        <v>27</v>
      </c>
    </row>
    <row r="22" spans="1:13" x14ac:dyDescent="0.25">
      <c r="A22">
        <v>21</v>
      </c>
      <c r="B22" t="s">
        <v>26</v>
      </c>
      <c r="C22" t="s">
        <v>24</v>
      </c>
      <c r="D22" t="s">
        <v>32</v>
      </c>
      <c r="E22" t="s">
        <v>16</v>
      </c>
      <c r="F22" t="s">
        <v>25</v>
      </c>
      <c r="G22">
        <v>85</v>
      </c>
      <c r="H22">
        <v>76</v>
      </c>
      <c r="I22">
        <v>91</v>
      </c>
      <c r="J22">
        <v>89</v>
      </c>
      <c r="K22">
        <v>73</v>
      </c>
      <c r="L22">
        <v>82.8</v>
      </c>
      <c r="M22" t="s">
        <v>18</v>
      </c>
    </row>
    <row r="23" spans="1:13" x14ac:dyDescent="0.25">
      <c r="A23">
        <v>22</v>
      </c>
      <c r="B23" t="s">
        <v>13</v>
      </c>
      <c r="C23" t="s">
        <v>14</v>
      </c>
      <c r="D23" t="s">
        <v>15</v>
      </c>
      <c r="E23" t="s">
        <v>16</v>
      </c>
      <c r="F23" t="s">
        <v>25</v>
      </c>
      <c r="G23">
        <v>93</v>
      </c>
      <c r="H23">
        <v>85</v>
      </c>
      <c r="I23">
        <v>70</v>
      </c>
      <c r="J23">
        <v>93</v>
      </c>
      <c r="K23">
        <v>92</v>
      </c>
      <c r="L23">
        <v>86.6</v>
      </c>
      <c r="M23" t="s">
        <v>18</v>
      </c>
    </row>
    <row r="24" spans="1:13" x14ac:dyDescent="0.25">
      <c r="A24">
        <v>23</v>
      </c>
      <c r="B24" t="s">
        <v>26</v>
      </c>
      <c r="C24" t="s">
        <v>24</v>
      </c>
      <c r="D24" t="s">
        <v>20</v>
      </c>
      <c r="E24" t="s">
        <v>16</v>
      </c>
      <c r="F24" t="s">
        <v>17</v>
      </c>
      <c r="G24">
        <v>60</v>
      </c>
      <c r="H24">
        <v>69</v>
      </c>
      <c r="I24">
        <v>71</v>
      </c>
      <c r="J24">
        <v>56</v>
      </c>
      <c r="K24">
        <v>70</v>
      </c>
      <c r="L24">
        <v>65.2</v>
      </c>
      <c r="M24" t="s">
        <v>22</v>
      </c>
    </row>
    <row r="25" spans="1:13" x14ac:dyDescent="0.25">
      <c r="A25">
        <v>24</v>
      </c>
      <c r="B25" t="s">
        <v>26</v>
      </c>
      <c r="C25" t="s">
        <v>29</v>
      </c>
      <c r="D25" t="s">
        <v>15</v>
      </c>
      <c r="E25" t="s">
        <v>31</v>
      </c>
      <c r="F25" t="s">
        <v>17</v>
      </c>
      <c r="G25">
        <v>75</v>
      </c>
      <c r="H25">
        <v>90</v>
      </c>
      <c r="I25">
        <v>94</v>
      </c>
      <c r="J25">
        <v>87</v>
      </c>
      <c r="K25">
        <v>94</v>
      </c>
      <c r="L25">
        <v>88</v>
      </c>
      <c r="M25" t="s">
        <v>18</v>
      </c>
    </row>
    <row r="26" spans="1:13" x14ac:dyDescent="0.25">
      <c r="A26">
        <v>25</v>
      </c>
      <c r="B26" t="s">
        <v>13</v>
      </c>
      <c r="C26" t="s">
        <v>24</v>
      </c>
      <c r="D26" t="s">
        <v>15</v>
      </c>
      <c r="E26" t="s">
        <v>31</v>
      </c>
      <c r="F26" t="s">
        <v>25</v>
      </c>
      <c r="G26">
        <v>86</v>
      </c>
      <c r="H26">
        <v>100</v>
      </c>
      <c r="I26">
        <v>77</v>
      </c>
      <c r="J26">
        <v>90</v>
      </c>
      <c r="K26">
        <v>100</v>
      </c>
      <c r="L26">
        <v>90.6</v>
      </c>
      <c r="M26" t="s">
        <v>18</v>
      </c>
    </row>
    <row r="27" spans="1:13" x14ac:dyDescent="0.25">
      <c r="A27">
        <v>26</v>
      </c>
      <c r="B27" t="s">
        <v>28</v>
      </c>
      <c r="C27" t="s">
        <v>29</v>
      </c>
      <c r="D27" t="s">
        <v>32</v>
      </c>
      <c r="E27" t="s">
        <v>16</v>
      </c>
      <c r="F27" t="s">
        <v>17</v>
      </c>
      <c r="G27">
        <v>71</v>
      </c>
      <c r="H27">
        <v>72</v>
      </c>
      <c r="I27">
        <v>100</v>
      </c>
      <c r="J27">
        <v>69</v>
      </c>
      <c r="K27">
        <v>74</v>
      </c>
      <c r="L27">
        <v>77.2</v>
      </c>
      <c r="M27" t="s">
        <v>22</v>
      </c>
    </row>
    <row r="28" spans="1:13" x14ac:dyDescent="0.25">
      <c r="A28">
        <v>27</v>
      </c>
      <c r="B28" t="s">
        <v>13</v>
      </c>
      <c r="C28" t="s">
        <v>29</v>
      </c>
      <c r="D28" t="s">
        <v>33</v>
      </c>
      <c r="E28" t="s">
        <v>16</v>
      </c>
      <c r="F28" t="s">
        <v>25</v>
      </c>
      <c r="G28">
        <v>33</v>
      </c>
      <c r="H28">
        <v>52</v>
      </c>
      <c r="I28">
        <v>66</v>
      </c>
      <c r="J28">
        <v>74</v>
      </c>
      <c r="K28">
        <v>58</v>
      </c>
      <c r="L28">
        <v>56.6</v>
      </c>
      <c r="M28" t="s">
        <v>27</v>
      </c>
    </row>
    <row r="29" spans="1:13" x14ac:dyDescent="0.25">
      <c r="A29">
        <v>28</v>
      </c>
      <c r="B29" t="s">
        <v>26</v>
      </c>
      <c r="C29" t="s">
        <v>14</v>
      </c>
      <c r="D29" t="s">
        <v>20</v>
      </c>
      <c r="E29" t="s">
        <v>31</v>
      </c>
      <c r="F29" t="s">
        <v>17</v>
      </c>
      <c r="G29">
        <v>65</v>
      </c>
      <c r="H29">
        <v>74</v>
      </c>
      <c r="I29">
        <v>57</v>
      </c>
      <c r="J29">
        <v>59</v>
      </c>
      <c r="K29">
        <v>60</v>
      </c>
      <c r="L29">
        <v>63</v>
      </c>
      <c r="M29" t="s">
        <v>22</v>
      </c>
    </row>
    <row r="30" spans="1:13" x14ac:dyDescent="0.25">
      <c r="A30">
        <v>29</v>
      </c>
      <c r="B30" t="s">
        <v>26</v>
      </c>
      <c r="C30" t="s">
        <v>29</v>
      </c>
      <c r="D30" t="s">
        <v>30</v>
      </c>
      <c r="E30" t="s">
        <v>31</v>
      </c>
      <c r="F30" t="s">
        <v>17</v>
      </c>
      <c r="G30">
        <v>67</v>
      </c>
      <c r="H30">
        <v>64</v>
      </c>
      <c r="I30">
        <v>71</v>
      </c>
      <c r="J30">
        <v>77</v>
      </c>
      <c r="K30">
        <v>65</v>
      </c>
      <c r="L30">
        <v>68.8</v>
      </c>
      <c r="M30" t="s">
        <v>22</v>
      </c>
    </row>
    <row r="31" spans="1:13" x14ac:dyDescent="0.25">
      <c r="A31">
        <v>30</v>
      </c>
      <c r="B31" t="s">
        <v>28</v>
      </c>
      <c r="C31" t="s">
        <v>29</v>
      </c>
      <c r="D31" t="s">
        <v>33</v>
      </c>
      <c r="E31" t="s">
        <v>16</v>
      </c>
      <c r="F31" t="s">
        <v>21</v>
      </c>
      <c r="G31">
        <v>49</v>
      </c>
      <c r="H31">
        <v>61</v>
      </c>
      <c r="I31">
        <v>57</v>
      </c>
      <c r="J31">
        <v>59</v>
      </c>
      <c r="K31">
        <v>65</v>
      </c>
      <c r="L31">
        <v>58.2</v>
      </c>
      <c r="M31" t="s">
        <v>27</v>
      </c>
    </row>
    <row r="32" spans="1:13" x14ac:dyDescent="0.25">
      <c r="A32">
        <v>31</v>
      </c>
      <c r="B32" t="s">
        <v>26</v>
      </c>
      <c r="C32" t="s">
        <v>24</v>
      </c>
      <c r="D32" t="s">
        <v>30</v>
      </c>
      <c r="E32" t="s">
        <v>31</v>
      </c>
      <c r="F32" t="s">
        <v>25</v>
      </c>
      <c r="G32">
        <v>85</v>
      </c>
      <c r="H32">
        <v>90</v>
      </c>
      <c r="I32">
        <v>71</v>
      </c>
      <c r="J32">
        <v>61</v>
      </c>
      <c r="K32">
        <v>89</v>
      </c>
      <c r="L32">
        <v>79.2</v>
      </c>
      <c r="M32" t="s">
        <v>22</v>
      </c>
    </row>
    <row r="33" spans="1:13" x14ac:dyDescent="0.25">
      <c r="A33">
        <v>32</v>
      </c>
      <c r="B33" t="s">
        <v>28</v>
      </c>
      <c r="C33" t="s">
        <v>24</v>
      </c>
      <c r="D33" t="s">
        <v>15</v>
      </c>
      <c r="E33" t="s">
        <v>16</v>
      </c>
      <c r="F33" t="s">
        <v>17</v>
      </c>
      <c r="G33">
        <v>83</v>
      </c>
      <c r="H33">
        <v>83</v>
      </c>
      <c r="I33">
        <v>100</v>
      </c>
      <c r="J33">
        <v>84</v>
      </c>
      <c r="K33">
        <v>79</v>
      </c>
      <c r="L33">
        <v>85.8</v>
      </c>
      <c r="M33" t="s">
        <v>18</v>
      </c>
    </row>
    <row r="34" spans="1:13" x14ac:dyDescent="0.25">
      <c r="A34">
        <v>33</v>
      </c>
      <c r="B34" t="s">
        <v>23</v>
      </c>
      <c r="C34" t="s">
        <v>14</v>
      </c>
      <c r="D34" t="s">
        <v>30</v>
      </c>
      <c r="E34" t="s">
        <v>16</v>
      </c>
      <c r="F34" t="s">
        <v>17</v>
      </c>
      <c r="G34">
        <v>64</v>
      </c>
      <c r="H34">
        <v>53</v>
      </c>
      <c r="I34">
        <v>64</v>
      </c>
      <c r="J34">
        <v>71</v>
      </c>
      <c r="K34">
        <v>74</v>
      </c>
      <c r="L34">
        <v>65.2</v>
      </c>
      <c r="M34" t="s">
        <v>22</v>
      </c>
    </row>
    <row r="35" spans="1:13" x14ac:dyDescent="0.25">
      <c r="A35">
        <v>34</v>
      </c>
      <c r="B35" t="s">
        <v>13</v>
      </c>
      <c r="C35" t="s">
        <v>24</v>
      </c>
      <c r="D35" t="s">
        <v>15</v>
      </c>
      <c r="E35" t="s">
        <v>31</v>
      </c>
      <c r="F35" t="s">
        <v>25</v>
      </c>
      <c r="G35">
        <v>86</v>
      </c>
      <c r="H35">
        <v>89</v>
      </c>
      <c r="I35">
        <v>73</v>
      </c>
      <c r="J35">
        <v>86</v>
      </c>
      <c r="K35">
        <v>100</v>
      </c>
      <c r="L35">
        <v>86.8</v>
      </c>
      <c r="M35" t="s">
        <v>18</v>
      </c>
    </row>
    <row r="36" spans="1:13" x14ac:dyDescent="0.25">
      <c r="A36">
        <v>35</v>
      </c>
      <c r="B36" t="s">
        <v>13</v>
      </c>
      <c r="C36" t="s">
        <v>29</v>
      </c>
      <c r="D36" t="s">
        <v>33</v>
      </c>
      <c r="E36" t="s">
        <v>31</v>
      </c>
      <c r="F36" t="s">
        <v>17</v>
      </c>
      <c r="G36">
        <v>68</v>
      </c>
      <c r="H36">
        <v>65</v>
      </c>
      <c r="I36">
        <v>47</v>
      </c>
      <c r="J36">
        <v>44</v>
      </c>
      <c r="K36">
        <v>59</v>
      </c>
      <c r="L36">
        <v>56.6</v>
      </c>
      <c r="M36" t="s">
        <v>27</v>
      </c>
    </row>
    <row r="37" spans="1:13" x14ac:dyDescent="0.25">
      <c r="A37">
        <v>36</v>
      </c>
      <c r="B37" t="s">
        <v>28</v>
      </c>
      <c r="C37" t="s">
        <v>29</v>
      </c>
      <c r="D37" t="s">
        <v>32</v>
      </c>
      <c r="E37" t="s">
        <v>16</v>
      </c>
      <c r="F37" t="s">
        <v>17</v>
      </c>
      <c r="G37">
        <v>82</v>
      </c>
      <c r="H37">
        <v>72</v>
      </c>
      <c r="I37">
        <v>99</v>
      </c>
      <c r="J37">
        <v>85</v>
      </c>
      <c r="K37">
        <v>60</v>
      </c>
      <c r="L37">
        <v>79.599999999999994</v>
      </c>
      <c r="M37" t="s">
        <v>22</v>
      </c>
    </row>
    <row r="38" spans="1:13" x14ac:dyDescent="0.25">
      <c r="A38">
        <v>37</v>
      </c>
      <c r="B38" t="s">
        <v>19</v>
      </c>
      <c r="C38" t="s">
        <v>29</v>
      </c>
      <c r="D38" t="s">
        <v>15</v>
      </c>
      <c r="E38" t="s">
        <v>31</v>
      </c>
      <c r="F38" t="s">
        <v>25</v>
      </c>
      <c r="G38">
        <v>91</v>
      </c>
      <c r="H38">
        <v>67</v>
      </c>
      <c r="I38">
        <v>76</v>
      </c>
      <c r="J38">
        <v>95</v>
      </c>
      <c r="K38">
        <v>100</v>
      </c>
      <c r="L38">
        <v>85.8</v>
      </c>
      <c r="M38" t="s">
        <v>18</v>
      </c>
    </row>
    <row r="39" spans="1:13" x14ac:dyDescent="0.25">
      <c r="A39">
        <v>38</v>
      </c>
      <c r="B39" t="s">
        <v>19</v>
      </c>
      <c r="C39" t="s">
        <v>14</v>
      </c>
      <c r="D39" t="s">
        <v>15</v>
      </c>
      <c r="E39" t="s">
        <v>16</v>
      </c>
      <c r="F39" t="s">
        <v>17</v>
      </c>
      <c r="G39">
        <v>100</v>
      </c>
      <c r="H39">
        <v>84</v>
      </c>
      <c r="I39">
        <v>76</v>
      </c>
      <c r="J39">
        <v>100</v>
      </c>
      <c r="K39">
        <v>77</v>
      </c>
      <c r="L39">
        <v>87.4</v>
      </c>
      <c r="M39" t="s">
        <v>18</v>
      </c>
    </row>
    <row r="40" spans="1:13" x14ac:dyDescent="0.25">
      <c r="A40">
        <v>39</v>
      </c>
      <c r="B40" t="s">
        <v>19</v>
      </c>
      <c r="C40" t="s">
        <v>29</v>
      </c>
      <c r="D40" t="s">
        <v>15</v>
      </c>
      <c r="E40" t="s">
        <v>16</v>
      </c>
      <c r="F40" t="s">
        <v>25</v>
      </c>
      <c r="G40">
        <v>100</v>
      </c>
      <c r="H40">
        <v>73</v>
      </c>
      <c r="I40">
        <v>91</v>
      </c>
      <c r="J40">
        <v>100</v>
      </c>
      <c r="K40">
        <v>79</v>
      </c>
      <c r="L40">
        <v>88.6</v>
      </c>
      <c r="M40" t="s">
        <v>18</v>
      </c>
    </row>
    <row r="41" spans="1:13" x14ac:dyDescent="0.25">
      <c r="A41">
        <v>40</v>
      </c>
      <c r="B41" t="s">
        <v>13</v>
      </c>
      <c r="C41" t="s">
        <v>14</v>
      </c>
      <c r="D41" t="s">
        <v>32</v>
      </c>
      <c r="E41" t="s">
        <v>31</v>
      </c>
      <c r="F41" t="s">
        <v>25</v>
      </c>
      <c r="G41">
        <v>85</v>
      </c>
      <c r="H41">
        <v>73</v>
      </c>
      <c r="I41">
        <v>100</v>
      </c>
      <c r="J41">
        <v>90</v>
      </c>
      <c r="K41">
        <v>81</v>
      </c>
      <c r="L41">
        <v>85.8</v>
      </c>
      <c r="M41" t="s">
        <v>18</v>
      </c>
    </row>
    <row r="42" spans="1:13" x14ac:dyDescent="0.25">
      <c r="A42">
        <v>41</v>
      </c>
      <c r="B42" t="s">
        <v>28</v>
      </c>
      <c r="C42" t="s">
        <v>24</v>
      </c>
      <c r="D42" t="s">
        <v>15</v>
      </c>
      <c r="E42" t="s">
        <v>31</v>
      </c>
      <c r="F42" t="s">
        <v>17</v>
      </c>
      <c r="G42">
        <v>90</v>
      </c>
      <c r="H42">
        <v>79</v>
      </c>
      <c r="I42">
        <v>59</v>
      </c>
      <c r="J42">
        <v>71</v>
      </c>
      <c r="K42">
        <v>98</v>
      </c>
      <c r="L42">
        <v>79.400000000000006</v>
      </c>
      <c r="M42" t="s">
        <v>22</v>
      </c>
    </row>
    <row r="43" spans="1:13" x14ac:dyDescent="0.25">
      <c r="A43">
        <v>42</v>
      </c>
      <c r="B43" t="s">
        <v>26</v>
      </c>
      <c r="C43" t="s">
        <v>24</v>
      </c>
      <c r="D43" t="s">
        <v>20</v>
      </c>
      <c r="E43" t="s">
        <v>31</v>
      </c>
      <c r="F43" t="s">
        <v>21</v>
      </c>
      <c r="G43">
        <v>73</v>
      </c>
      <c r="H43">
        <v>74</v>
      </c>
      <c r="I43">
        <v>69</v>
      </c>
      <c r="J43">
        <v>75</v>
      </c>
      <c r="K43">
        <v>66</v>
      </c>
      <c r="L43">
        <v>71.400000000000006</v>
      </c>
      <c r="M43" t="s">
        <v>22</v>
      </c>
    </row>
    <row r="44" spans="1:13" x14ac:dyDescent="0.25">
      <c r="A44">
        <v>43</v>
      </c>
      <c r="B44" t="s">
        <v>26</v>
      </c>
      <c r="C44" t="s">
        <v>24</v>
      </c>
      <c r="D44" t="s">
        <v>15</v>
      </c>
      <c r="E44" t="s">
        <v>31</v>
      </c>
      <c r="F44" t="s">
        <v>21</v>
      </c>
      <c r="G44">
        <v>100</v>
      </c>
      <c r="H44">
        <v>87</v>
      </c>
      <c r="I44">
        <v>89</v>
      </c>
      <c r="J44">
        <v>76</v>
      </c>
      <c r="K44">
        <v>88</v>
      </c>
      <c r="L44">
        <v>88</v>
      </c>
      <c r="M44" t="s">
        <v>18</v>
      </c>
    </row>
    <row r="45" spans="1:13" x14ac:dyDescent="0.25">
      <c r="A45">
        <v>44</v>
      </c>
      <c r="B45" t="s">
        <v>23</v>
      </c>
      <c r="C45" t="s">
        <v>14</v>
      </c>
      <c r="D45" t="s">
        <v>33</v>
      </c>
      <c r="E45" t="s">
        <v>31</v>
      </c>
      <c r="F45" t="s">
        <v>25</v>
      </c>
      <c r="G45">
        <v>44</v>
      </c>
      <c r="H45">
        <v>50</v>
      </c>
      <c r="I45">
        <v>48</v>
      </c>
      <c r="J45">
        <v>62</v>
      </c>
      <c r="K45">
        <v>46</v>
      </c>
      <c r="L45">
        <v>50</v>
      </c>
      <c r="M45" t="s">
        <v>27</v>
      </c>
    </row>
    <row r="46" spans="1:13" x14ac:dyDescent="0.25">
      <c r="A46">
        <v>45</v>
      </c>
      <c r="B46" t="s">
        <v>28</v>
      </c>
      <c r="C46" t="s">
        <v>14</v>
      </c>
      <c r="D46" t="s">
        <v>30</v>
      </c>
      <c r="E46" t="s">
        <v>16</v>
      </c>
      <c r="F46" t="s">
        <v>21</v>
      </c>
      <c r="G46">
        <v>87</v>
      </c>
      <c r="H46">
        <v>87</v>
      </c>
      <c r="I46">
        <v>93</v>
      </c>
      <c r="J46">
        <v>74</v>
      </c>
      <c r="K46">
        <v>91</v>
      </c>
      <c r="L46">
        <v>86.4</v>
      </c>
      <c r="M46" t="s">
        <v>18</v>
      </c>
    </row>
    <row r="47" spans="1:13" x14ac:dyDescent="0.25">
      <c r="A47">
        <v>46</v>
      </c>
      <c r="B47" t="s">
        <v>23</v>
      </c>
      <c r="C47" t="s">
        <v>14</v>
      </c>
      <c r="D47" t="s">
        <v>30</v>
      </c>
      <c r="E47" t="s">
        <v>16</v>
      </c>
      <c r="F47" t="s">
        <v>25</v>
      </c>
      <c r="G47">
        <v>67</v>
      </c>
      <c r="H47">
        <v>79</v>
      </c>
      <c r="I47">
        <v>92</v>
      </c>
      <c r="J47">
        <v>68</v>
      </c>
      <c r="K47">
        <v>69</v>
      </c>
      <c r="L47">
        <v>75</v>
      </c>
      <c r="M47" t="s">
        <v>22</v>
      </c>
    </row>
    <row r="48" spans="1:13" x14ac:dyDescent="0.25">
      <c r="A48">
        <v>47</v>
      </c>
      <c r="B48" t="s">
        <v>13</v>
      </c>
      <c r="C48" t="s">
        <v>14</v>
      </c>
      <c r="D48" t="s">
        <v>33</v>
      </c>
      <c r="E48" t="s">
        <v>16</v>
      </c>
      <c r="F48" t="s">
        <v>25</v>
      </c>
      <c r="G48">
        <v>59</v>
      </c>
      <c r="H48">
        <v>28</v>
      </c>
      <c r="I48">
        <v>51</v>
      </c>
      <c r="J48">
        <v>38</v>
      </c>
      <c r="K48">
        <v>49</v>
      </c>
      <c r="L48">
        <v>45</v>
      </c>
      <c r="M48" t="s">
        <v>27</v>
      </c>
    </row>
    <row r="49" spans="1:13" x14ac:dyDescent="0.25">
      <c r="A49">
        <v>48</v>
      </c>
      <c r="B49" t="s">
        <v>23</v>
      </c>
      <c r="C49" t="s">
        <v>24</v>
      </c>
      <c r="D49" t="s">
        <v>32</v>
      </c>
      <c r="E49" t="s">
        <v>16</v>
      </c>
      <c r="F49" t="s">
        <v>21</v>
      </c>
      <c r="G49">
        <v>100</v>
      </c>
      <c r="H49">
        <v>81</v>
      </c>
      <c r="I49">
        <v>100</v>
      </c>
      <c r="J49">
        <v>89</v>
      </c>
      <c r="K49">
        <v>90</v>
      </c>
      <c r="L49">
        <v>92</v>
      </c>
      <c r="M49" t="s">
        <v>18</v>
      </c>
    </row>
    <row r="50" spans="1:13" x14ac:dyDescent="0.25">
      <c r="A50">
        <v>49</v>
      </c>
      <c r="B50" t="s">
        <v>26</v>
      </c>
      <c r="C50" t="s">
        <v>29</v>
      </c>
      <c r="D50" t="s">
        <v>20</v>
      </c>
      <c r="E50" t="s">
        <v>31</v>
      </c>
      <c r="F50" t="s">
        <v>25</v>
      </c>
      <c r="G50">
        <v>74</v>
      </c>
      <c r="H50">
        <v>56</v>
      </c>
      <c r="I50">
        <v>63</v>
      </c>
      <c r="J50">
        <v>55</v>
      </c>
      <c r="K50">
        <v>60</v>
      </c>
      <c r="L50">
        <v>61.6</v>
      </c>
      <c r="M50" t="s">
        <v>22</v>
      </c>
    </row>
    <row r="51" spans="1:13" x14ac:dyDescent="0.25">
      <c r="A51">
        <v>50</v>
      </c>
      <c r="B51" t="s">
        <v>26</v>
      </c>
      <c r="C51" t="s">
        <v>14</v>
      </c>
      <c r="D51" t="s">
        <v>32</v>
      </c>
      <c r="E51" t="s">
        <v>16</v>
      </c>
      <c r="F51" t="s">
        <v>17</v>
      </c>
      <c r="G51">
        <v>83</v>
      </c>
      <c r="H51">
        <v>85</v>
      </c>
      <c r="I51">
        <v>65</v>
      </c>
      <c r="J51">
        <v>67</v>
      </c>
      <c r="K51">
        <v>82</v>
      </c>
      <c r="L51">
        <v>76.400000000000006</v>
      </c>
      <c r="M51" t="s">
        <v>22</v>
      </c>
    </row>
    <row r="52" spans="1:13" x14ac:dyDescent="0.25">
      <c r="A52">
        <v>51</v>
      </c>
      <c r="B52" t="s">
        <v>13</v>
      </c>
      <c r="C52" t="s">
        <v>14</v>
      </c>
      <c r="D52" t="s">
        <v>20</v>
      </c>
      <c r="E52" t="s">
        <v>31</v>
      </c>
      <c r="F52" t="s">
        <v>21</v>
      </c>
      <c r="G52">
        <v>57</v>
      </c>
      <c r="H52">
        <v>67</v>
      </c>
      <c r="I52">
        <v>63</v>
      </c>
      <c r="J52">
        <v>85</v>
      </c>
      <c r="K52">
        <v>52</v>
      </c>
      <c r="L52">
        <v>64.8</v>
      </c>
      <c r="M52" t="s">
        <v>22</v>
      </c>
    </row>
    <row r="53" spans="1:13" x14ac:dyDescent="0.25">
      <c r="A53">
        <v>52</v>
      </c>
      <c r="B53" t="s">
        <v>28</v>
      </c>
      <c r="C53" t="s">
        <v>24</v>
      </c>
      <c r="D53" t="s">
        <v>32</v>
      </c>
      <c r="E53" t="s">
        <v>31</v>
      </c>
      <c r="F53" t="s">
        <v>21</v>
      </c>
      <c r="G53">
        <v>94</v>
      </c>
      <c r="H53">
        <v>95</v>
      </c>
      <c r="I53">
        <v>79</v>
      </c>
      <c r="J53">
        <v>88</v>
      </c>
      <c r="K53">
        <v>68</v>
      </c>
      <c r="L53">
        <v>84.8</v>
      </c>
      <c r="M53" t="s">
        <v>18</v>
      </c>
    </row>
    <row r="54" spans="1:13" x14ac:dyDescent="0.25">
      <c r="A54">
        <v>53</v>
      </c>
      <c r="B54" t="s">
        <v>19</v>
      </c>
      <c r="C54" t="s">
        <v>29</v>
      </c>
      <c r="D54" t="s">
        <v>32</v>
      </c>
      <c r="E54" t="s">
        <v>31</v>
      </c>
      <c r="F54" t="s">
        <v>25</v>
      </c>
      <c r="G54">
        <v>68</v>
      </c>
      <c r="H54">
        <v>88</v>
      </c>
      <c r="I54">
        <v>83</v>
      </c>
      <c r="J54">
        <v>92</v>
      </c>
      <c r="K54">
        <v>86</v>
      </c>
      <c r="L54">
        <v>83.4</v>
      </c>
      <c r="M54" t="s">
        <v>18</v>
      </c>
    </row>
    <row r="55" spans="1:13" x14ac:dyDescent="0.25">
      <c r="A55">
        <v>54</v>
      </c>
      <c r="B55" t="s">
        <v>26</v>
      </c>
      <c r="C55" t="s">
        <v>29</v>
      </c>
      <c r="D55" t="s">
        <v>32</v>
      </c>
      <c r="E55" t="s">
        <v>31</v>
      </c>
      <c r="F55" t="s">
        <v>21</v>
      </c>
      <c r="G55">
        <v>85</v>
      </c>
      <c r="H55">
        <v>90</v>
      </c>
      <c r="I55">
        <v>98</v>
      </c>
      <c r="J55">
        <v>82</v>
      </c>
      <c r="K55">
        <v>97</v>
      </c>
      <c r="L55">
        <v>90.4</v>
      </c>
      <c r="M55" t="s">
        <v>18</v>
      </c>
    </row>
    <row r="56" spans="1:13" x14ac:dyDescent="0.25">
      <c r="A56">
        <v>55</v>
      </c>
      <c r="B56" t="s">
        <v>28</v>
      </c>
      <c r="C56" t="s">
        <v>14</v>
      </c>
      <c r="D56" t="s">
        <v>20</v>
      </c>
      <c r="E56" t="s">
        <v>31</v>
      </c>
      <c r="F56" t="s">
        <v>21</v>
      </c>
      <c r="G56">
        <v>71</v>
      </c>
      <c r="H56">
        <v>69</v>
      </c>
      <c r="I56">
        <v>79</v>
      </c>
      <c r="J56">
        <v>61</v>
      </c>
      <c r="K56">
        <v>46</v>
      </c>
      <c r="L56">
        <v>65.2</v>
      </c>
      <c r="M56" t="s">
        <v>22</v>
      </c>
    </row>
    <row r="57" spans="1:13" x14ac:dyDescent="0.25">
      <c r="A57">
        <v>56</v>
      </c>
      <c r="B57" t="s">
        <v>28</v>
      </c>
      <c r="C57" t="s">
        <v>14</v>
      </c>
      <c r="D57" t="s">
        <v>33</v>
      </c>
      <c r="E57" t="s">
        <v>31</v>
      </c>
      <c r="F57" t="s">
        <v>21</v>
      </c>
      <c r="G57">
        <v>61</v>
      </c>
      <c r="H57">
        <v>56</v>
      </c>
      <c r="I57">
        <v>40</v>
      </c>
      <c r="J57">
        <v>67</v>
      </c>
      <c r="K57">
        <v>51</v>
      </c>
      <c r="L57">
        <v>55</v>
      </c>
      <c r="M57" t="s">
        <v>27</v>
      </c>
    </row>
    <row r="58" spans="1:13" x14ac:dyDescent="0.25">
      <c r="A58">
        <v>57</v>
      </c>
      <c r="B58" t="s">
        <v>13</v>
      </c>
      <c r="C58" t="s">
        <v>24</v>
      </c>
      <c r="D58" t="s">
        <v>15</v>
      </c>
      <c r="E58" t="s">
        <v>16</v>
      </c>
      <c r="F58" t="s">
        <v>25</v>
      </c>
      <c r="G58">
        <v>80</v>
      </c>
      <c r="H58">
        <v>100</v>
      </c>
      <c r="I58">
        <v>83</v>
      </c>
      <c r="J58">
        <v>91</v>
      </c>
      <c r="K58">
        <v>82</v>
      </c>
      <c r="L58">
        <v>87.2</v>
      </c>
      <c r="M58" t="s">
        <v>18</v>
      </c>
    </row>
    <row r="59" spans="1:13" x14ac:dyDescent="0.25">
      <c r="A59">
        <v>58</v>
      </c>
      <c r="B59" t="s">
        <v>23</v>
      </c>
      <c r="C59" t="s">
        <v>29</v>
      </c>
      <c r="D59" t="s">
        <v>20</v>
      </c>
      <c r="E59" t="s">
        <v>16</v>
      </c>
      <c r="F59" t="s">
        <v>21</v>
      </c>
      <c r="G59">
        <v>71</v>
      </c>
      <c r="H59">
        <v>67</v>
      </c>
      <c r="I59">
        <v>69</v>
      </c>
      <c r="J59">
        <v>66</v>
      </c>
      <c r="K59">
        <v>65</v>
      </c>
      <c r="L59">
        <v>67.599999999999994</v>
      </c>
      <c r="M59" t="s">
        <v>22</v>
      </c>
    </row>
    <row r="60" spans="1:13" x14ac:dyDescent="0.25">
      <c r="A60">
        <v>59</v>
      </c>
      <c r="B60" t="s">
        <v>23</v>
      </c>
      <c r="C60" t="s">
        <v>14</v>
      </c>
      <c r="D60" t="s">
        <v>30</v>
      </c>
      <c r="E60" t="s">
        <v>16</v>
      </c>
      <c r="F60" t="s">
        <v>25</v>
      </c>
      <c r="G60">
        <v>69</v>
      </c>
      <c r="H60">
        <v>84</v>
      </c>
      <c r="I60">
        <v>64</v>
      </c>
      <c r="J60">
        <v>92</v>
      </c>
      <c r="K60">
        <v>70</v>
      </c>
      <c r="L60">
        <v>75.8</v>
      </c>
      <c r="M60" t="s">
        <v>22</v>
      </c>
    </row>
    <row r="61" spans="1:13" x14ac:dyDescent="0.25">
      <c r="A61">
        <v>60</v>
      </c>
      <c r="B61" t="s">
        <v>26</v>
      </c>
      <c r="C61" t="s">
        <v>24</v>
      </c>
      <c r="D61" t="s">
        <v>20</v>
      </c>
      <c r="E61" t="s">
        <v>16</v>
      </c>
      <c r="F61" t="s">
        <v>17</v>
      </c>
      <c r="G61">
        <v>86</v>
      </c>
      <c r="H61">
        <v>61</v>
      </c>
      <c r="I61">
        <v>58</v>
      </c>
      <c r="J61">
        <v>68</v>
      </c>
      <c r="K61">
        <v>59</v>
      </c>
      <c r="L61">
        <v>66.400000000000006</v>
      </c>
      <c r="M61" t="s">
        <v>22</v>
      </c>
    </row>
    <row r="62" spans="1:13" x14ac:dyDescent="0.25">
      <c r="A62">
        <v>61</v>
      </c>
      <c r="B62" t="s">
        <v>19</v>
      </c>
      <c r="C62" t="s">
        <v>14</v>
      </c>
      <c r="D62" t="s">
        <v>15</v>
      </c>
      <c r="E62" t="s">
        <v>31</v>
      </c>
      <c r="F62" t="s">
        <v>17</v>
      </c>
      <c r="G62">
        <v>85</v>
      </c>
      <c r="H62">
        <v>86</v>
      </c>
      <c r="I62">
        <v>87</v>
      </c>
      <c r="J62">
        <v>89</v>
      </c>
      <c r="K62">
        <v>78</v>
      </c>
      <c r="L62">
        <v>85</v>
      </c>
      <c r="M62" t="s">
        <v>18</v>
      </c>
    </row>
    <row r="63" spans="1:13" x14ac:dyDescent="0.25">
      <c r="A63">
        <v>62</v>
      </c>
      <c r="B63" t="s">
        <v>19</v>
      </c>
      <c r="C63" t="s">
        <v>14</v>
      </c>
      <c r="D63" t="s">
        <v>30</v>
      </c>
      <c r="E63" t="s">
        <v>16</v>
      </c>
      <c r="F63" t="s">
        <v>17</v>
      </c>
      <c r="G63">
        <v>60</v>
      </c>
      <c r="H63">
        <v>51</v>
      </c>
      <c r="I63">
        <v>56</v>
      </c>
      <c r="J63">
        <v>68</v>
      </c>
      <c r="K63">
        <v>54</v>
      </c>
      <c r="L63">
        <v>57.8</v>
      </c>
      <c r="M63" t="s">
        <v>27</v>
      </c>
    </row>
    <row r="64" spans="1:13" x14ac:dyDescent="0.25">
      <c r="A64">
        <v>63</v>
      </c>
      <c r="B64" t="s">
        <v>13</v>
      </c>
      <c r="C64" t="s">
        <v>24</v>
      </c>
      <c r="D64" t="s">
        <v>33</v>
      </c>
      <c r="E64" t="s">
        <v>16</v>
      </c>
      <c r="F64" t="s">
        <v>17</v>
      </c>
      <c r="G64">
        <v>61</v>
      </c>
      <c r="H64">
        <v>44</v>
      </c>
      <c r="I64">
        <v>58</v>
      </c>
      <c r="J64">
        <v>44</v>
      </c>
      <c r="K64">
        <v>56</v>
      </c>
      <c r="L64">
        <v>52.6</v>
      </c>
      <c r="M64" t="s">
        <v>27</v>
      </c>
    </row>
    <row r="65" spans="1:13" x14ac:dyDescent="0.25">
      <c r="A65">
        <v>64</v>
      </c>
      <c r="B65" t="s">
        <v>13</v>
      </c>
      <c r="C65" t="s">
        <v>29</v>
      </c>
      <c r="D65" t="s">
        <v>15</v>
      </c>
      <c r="E65" t="s">
        <v>31</v>
      </c>
      <c r="F65" t="s">
        <v>21</v>
      </c>
      <c r="G65">
        <v>90</v>
      </c>
      <c r="H65">
        <v>95</v>
      </c>
      <c r="I65">
        <v>73</v>
      </c>
      <c r="J65">
        <v>88</v>
      </c>
      <c r="K65">
        <v>90</v>
      </c>
      <c r="L65">
        <v>87.2</v>
      </c>
      <c r="M65" t="s">
        <v>18</v>
      </c>
    </row>
    <row r="66" spans="1:13" x14ac:dyDescent="0.25">
      <c r="A66">
        <v>65</v>
      </c>
      <c r="B66" t="s">
        <v>23</v>
      </c>
      <c r="C66" t="s">
        <v>14</v>
      </c>
      <c r="D66" t="s">
        <v>33</v>
      </c>
      <c r="E66" t="s">
        <v>31</v>
      </c>
      <c r="F66" t="s">
        <v>25</v>
      </c>
      <c r="G66">
        <v>51</v>
      </c>
      <c r="H66">
        <v>49</v>
      </c>
      <c r="I66">
        <v>52</v>
      </c>
      <c r="J66">
        <v>51</v>
      </c>
      <c r="K66">
        <v>42</v>
      </c>
      <c r="L66">
        <v>49</v>
      </c>
      <c r="M66" t="s">
        <v>27</v>
      </c>
    </row>
    <row r="67" spans="1:13" x14ac:dyDescent="0.25">
      <c r="A67">
        <v>66</v>
      </c>
      <c r="B67" t="s">
        <v>13</v>
      </c>
      <c r="C67" t="s">
        <v>14</v>
      </c>
      <c r="D67" t="s">
        <v>32</v>
      </c>
      <c r="E67" t="s">
        <v>31</v>
      </c>
      <c r="F67" t="s">
        <v>25</v>
      </c>
      <c r="G67">
        <v>88</v>
      </c>
      <c r="H67">
        <v>88</v>
      </c>
      <c r="I67">
        <v>93</v>
      </c>
      <c r="J67">
        <v>74</v>
      </c>
      <c r="K67">
        <v>71</v>
      </c>
      <c r="L67">
        <v>82.8</v>
      </c>
      <c r="M67" t="s">
        <v>18</v>
      </c>
    </row>
    <row r="68" spans="1:13" x14ac:dyDescent="0.25">
      <c r="A68">
        <v>67</v>
      </c>
      <c r="B68" t="s">
        <v>23</v>
      </c>
      <c r="C68" t="s">
        <v>24</v>
      </c>
      <c r="D68" t="s">
        <v>20</v>
      </c>
      <c r="E68" t="s">
        <v>31</v>
      </c>
      <c r="F68" t="s">
        <v>21</v>
      </c>
      <c r="G68">
        <v>62</v>
      </c>
      <c r="H68">
        <v>65</v>
      </c>
      <c r="I68">
        <v>70</v>
      </c>
      <c r="J68">
        <v>93</v>
      </c>
      <c r="K68">
        <v>68</v>
      </c>
      <c r="L68">
        <v>71.599999999999994</v>
      </c>
      <c r="M68" t="s">
        <v>22</v>
      </c>
    </row>
    <row r="69" spans="1:13" x14ac:dyDescent="0.25">
      <c r="A69">
        <v>68</v>
      </c>
      <c r="B69" t="s">
        <v>28</v>
      </c>
      <c r="C69" t="s">
        <v>14</v>
      </c>
      <c r="D69" t="s">
        <v>30</v>
      </c>
      <c r="E69" t="s">
        <v>31</v>
      </c>
      <c r="F69" t="s">
        <v>17</v>
      </c>
      <c r="G69">
        <v>82</v>
      </c>
      <c r="H69">
        <v>63</v>
      </c>
      <c r="I69">
        <v>72</v>
      </c>
      <c r="J69">
        <v>62</v>
      </c>
      <c r="K69">
        <v>72</v>
      </c>
      <c r="L69">
        <v>70.2</v>
      </c>
      <c r="M69" t="s">
        <v>22</v>
      </c>
    </row>
    <row r="70" spans="1:13" x14ac:dyDescent="0.25">
      <c r="A70">
        <v>69</v>
      </c>
      <c r="B70" t="s">
        <v>13</v>
      </c>
      <c r="C70" t="s">
        <v>29</v>
      </c>
      <c r="D70" t="s">
        <v>33</v>
      </c>
      <c r="E70" t="s">
        <v>31</v>
      </c>
      <c r="F70" t="s">
        <v>21</v>
      </c>
      <c r="G70">
        <v>67</v>
      </c>
      <c r="H70">
        <v>49</v>
      </c>
      <c r="I70">
        <v>51</v>
      </c>
      <c r="J70">
        <v>57</v>
      </c>
      <c r="K70">
        <v>58</v>
      </c>
      <c r="L70">
        <v>56.4</v>
      </c>
      <c r="M70" t="s">
        <v>27</v>
      </c>
    </row>
    <row r="71" spans="1:13" x14ac:dyDescent="0.25">
      <c r="A71">
        <v>70</v>
      </c>
      <c r="B71" t="s">
        <v>28</v>
      </c>
      <c r="C71" t="s">
        <v>24</v>
      </c>
      <c r="D71" t="s">
        <v>20</v>
      </c>
      <c r="E71" t="s">
        <v>31</v>
      </c>
      <c r="F71" t="s">
        <v>25</v>
      </c>
      <c r="G71">
        <v>75</v>
      </c>
      <c r="H71">
        <v>66</v>
      </c>
      <c r="I71">
        <v>60</v>
      </c>
      <c r="J71">
        <v>67</v>
      </c>
      <c r="K71">
        <v>80</v>
      </c>
      <c r="L71">
        <v>69.599999999999994</v>
      </c>
      <c r="M71" t="s">
        <v>22</v>
      </c>
    </row>
    <row r="72" spans="1:13" x14ac:dyDescent="0.25">
      <c r="A72">
        <v>71</v>
      </c>
      <c r="B72" t="s">
        <v>28</v>
      </c>
      <c r="C72" t="s">
        <v>29</v>
      </c>
      <c r="D72" t="s">
        <v>20</v>
      </c>
      <c r="E72" t="s">
        <v>16</v>
      </c>
      <c r="F72" t="s">
        <v>21</v>
      </c>
      <c r="G72">
        <v>59</v>
      </c>
      <c r="H72">
        <v>67</v>
      </c>
      <c r="I72">
        <v>69</v>
      </c>
      <c r="J72">
        <v>61</v>
      </c>
      <c r="K72">
        <v>67</v>
      </c>
      <c r="L72">
        <v>64.599999999999994</v>
      </c>
      <c r="M72" t="s">
        <v>22</v>
      </c>
    </row>
    <row r="73" spans="1:13" x14ac:dyDescent="0.25">
      <c r="A73">
        <v>72</v>
      </c>
      <c r="B73" t="s">
        <v>19</v>
      </c>
      <c r="C73" t="s">
        <v>24</v>
      </c>
      <c r="D73" t="s">
        <v>32</v>
      </c>
      <c r="E73" t="s">
        <v>31</v>
      </c>
      <c r="F73" t="s">
        <v>25</v>
      </c>
      <c r="G73">
        <v>75</v>
      </c>
      <c r="H73">
        <v>92</v>
      </c>
      <c r="I73">
        <v>91</v>
      </c>
      <c r="J73">
        <v>83</v>
      </c>
      <c r="K73">
        <v>76</v>
      </c>
      <c r="L73">
        <v>83.4</v>
      </c>
      <c r="M73" t="s">
        <v>18</v>
      </c>
    </row>
    <row r="74" spans="1:13" x14ac:dyDescent="0.25">
      <c r="A74">
        <v>73</v>
      </c>
      <c r="B74" t="s">
        <v>28</v>
      </c>
      <c r="C74" t="s">
        <v>29</v>
      </c>
      <c r="D74" t="s">
        <v>30</v>
      </c>
      <c r="E74" t="s">
        <v>31</v>
      </c>
      <c r="F74" t="s">
        <v>21</v>
      </c>
      <c r="G74">
        <v>65</v>
      </c>
      <c r="H74">
        <v>70</v>
      </c>
      <c r="I74">
        <v>56</v>
      </c>
      <c r="J74">
        <v>63</v>
      </c>
      <c r="K74">
        <v>84</v>
      </c>
      <c r="L74">
        <v>67.599999999999994</v>
      </c>
      <c r="M74" t="s">
        <v>22</v>
      </c>
    </row>
    <row r="75" spans="1:13" x14ac:dyDescent="0.25">
      <c r="A75">
        <v>74</v>
      </c>
      <c r="B75" t="s">
        <v>19</v>
      </c>
      <c r="C75" t="s">
        <v>24</v>
      </c>
      <c r="D75" t="s">
        <v>15</v>
      </c>
      <c r="E75" t="s">
        <v>31</v>
      </c>
      <c r="F75" t="s">
        <v>21</v>
      </c>
      <c r="G75">
        <v>85</v>
      </c>
      <c r="H75">
        <v>85</v>
      </c>
      <c r="I75">
        <v>91</v>
      </c>
      <c r="J75">
        <v>100</v>
      </c>
      <c r="K75">
        <v>90</v>
      </c>
      <c r="L75">
        <v>90.2</v>
      </c>
      <c r="M75" t="s">
        <v>18</v>
      </c>
    </row>
    <row r="76" spans="1:13" x14ac:dyDescent="0.25">
      <c r="A76">
        <v>75</v>
      </c>
      <c r="B76" t="s">
        <v>23</v>
      </c>
      <c r="C76" t="s">
        <v>29</v>
      </c>
      <c r="D76" t="s">
        <v>15</v>
      </c>
      <c r="E76" t="s">
        <v>16</v>
      </c>
      <c r="F76" t="s">
        <v>17</v>
      </c>
      <c r="G76">
        <v>74</v>
      </c>
      <c r="H76">
        <v>79</v>
      </c>
      <c r="I76">
        <v>79</v>
      </c>
      <c r="J76">
        <v>87</v>
      </c>
      <c r="K76">
        <v>100</v>
      </c>
      <c r="L76">
        <v>83.8</v>
      </c>
      <c r="M76" t="s">
        <v>18</v>
      </c>
    </row>
    <row r="77" spans="1:13" x14ac:dyDescent="0.25">
      <c r="A77">
        <v>76</v>
      </c>
      <c r="B77" t="s">
        <v>13</v>
      </c>
      <c r="C77" t="s">
        <v>14</v>
      </c>
      <c r="D77" t="s">
        <v>20</v>
      </c>
      <c r="E77" t="s">
        <v>16</v>
      </c>
      <c r="F77" t="s">
        <v>25</v>
      </c>
      <c r="G77">
        <v>72</v>
      </c>
      <c r="H77">
        <v>77</v>
      </c>
      <c r="I77">
        <v>71</v>
      </c>
      <c r="J77">
        <v>70</v>
      </c>
      <c r="K77">
        <v>66</v>
      </c>
      <c r="L77">
        <v>71.2</v>
      </c>
      <c r="M77" t="s">
        <v>22</v>
      </c>
    </row>
    <row r="78" spans="1:13" x14ac:dyDescent="0.25">
      <c r="A78">
        <v>77</v>
      </c>
      <c r="B78" t="s">
        <v>23</v>
      </c>
      <c r="C78" t="s">
        <v>14</v>
      </c>
      <c r="D78" t="s">
        <v>32</v>
      </c>
      <c r="E78" t="s">
        <v>31</v>
      </c>
      <c r="F78" t="s">
        <v>17</v>
      </c>
      <c r="G78">
        <v>70</v>
      </c>
      <c r="H78">
        <v>76</v>
      </c>
      <c r="I78">
        <v>68</v>
      </c>
      <c r="J78">
        <v>72</v>
      </c>
      <c r="K78">
        <v>81</v>
      </c>
      <c r="L78">
        <v>73.400000000000006</v>
      </c>
      <c r="M78" t="s">
        <v>22</v>
      </c>
    </row>
    <row r="79" spans="1:13" x14ac:dyDescent="0.25">
      <c r="A79">
        <v>78</v>
      </c>
      <c r="B79" t="s">
        <v>19</v>
      </c>
      <c r="C79" t="s">
        <v>24</v>
      </c>
      <c r="D79" t="s">
        <v>30</v>
      </c>
      <c r="E79" t="s">
        <v>16</v>
      </c>
      <c r="F79" t="s">
        <v>21</v>
      </c>
      <c r="G79">
        <v>70</v>
      </c>
      <c r="H79">
        <v>70</v>
      </c>
      <c r="I79">
        <v>70</v>
      </c>
      <c r="J79">
        <v>78</v>
      </c>
      <c r="K79">
        <v>55</v>
      </c>
      <c r="L79">
        <v>68.599999999999994</v>
      </c>
      <c r="M79" t="s">
        <v>22</v>
      </c>
    </row>
    <row r="80" spans="1:13" x14ac:dyDescent="0.25">
      <c r="A80">
        <v>79</v>
      </c>
      <c r="B80" t="s">
        <v>23</v>
      </c>
      <c r="C80" t="s">
        <v>14</v>
      </c>
      <c r="D80" t="s">
        <v>30</v>
      </c>
      <c r="E80" t="s">
        <v>16</v>
      </c>
      <c r="F80" t="s">
        <v>21</v>
      </c>
      <c r="G80">
        <v>86</v>
      </c>
      <c r="H80">
        <v>83</v>
      </c>
      <c r="I80">
        <v>74</v>
      </c>
      <c r="J80">
        <v>78</v>
      </c>
      <c r="K80">
        <v>67</v>
      </c>
      <c r="L80">
        <v>77.599999999999994</v>
      </c>
      <c r="M80" t="s">
        <v>22</v>
      </c>
    </row>
    <row r="81" spans="1:13" x14ac:dyDescent="0.25">
      <c r="A81">
        <v>80</v>
      </c>
      <c r="B81" t="s">
        <v>28</v>
      </c>
      <c r="C81" t="s">
        <v>24</v>
      </c>
      <c r="D81" t="s">
        <v>32</v>
      </c>
      <c r="E81" t="s">
        <v>16</v>
      </c>
      <c r="F81" t="s">
        <v>25</v>
      </c>
      <c r="G81">
        <v>91</v>
      </c>
      <c r="H81">
        <v>78</v>
      </c>
      <c r="I81">
        <v>67</v>
      </c>
      <c r="J81">
        <v>68</v>
      </c>
      <c r="K81">
        <v>87</v>
      </c>
      <c r="L81">
        <v>78.2</v>
      </c>
      <c r="M81" t="s">
        <v>22</v>
      </c>
    </row>
    <row r="82" spans="1:13" x14ac:dyDescent="0.25">
      <c r="A82">
        <v>81</v>
      </c>
      <c r="B82" t="s">
        <v>28</v>
      </c>
      <c r="C82" t="s">
        <v>24</v>
      </c>
      <c r="D82" t="s">
        <v>20</v>
      </c>
      <c r="E82" t="s">
        <v>31</v>
      </c>
      <c r="F82" t="s">
        <v>17</v>
      </c>
      <c r="G82">
        <v>48</v>
      </c>
      <c r="H82">
        <v>58</v>
      </c>
      <c r="I82">
        <v>77</v>
      </c>
      <c r="J82">
        <v>51</v>
      </c>
      <c r="K82">
        <v>67</v>
      </c>
      <c r="L82">
        <v>60.2</v>
      </c>
      <c r="M82" t="s">
        <v>22</v>
      </c>
    </row>
    <row r="83" spans="1:13" x14ac:dyDescent="0.25">
      <c r="A83">
        <v>82</v>
      </c>
      <c r="B83" t="s">
        <v>13</v>
      </c>
      <c r="C83" t="s">
        <v>14</v>
      </c>
      <c r="D83" t="s">
        <v>20</v>
      </c>
      <c r="E83" t="s">
        <v>31</v>
      </c>
      <c r="F83" t="s">
        <v>17</v>
      </c>
      <c r="G83">
        <v>64</v>
      </c>
      <c r="H83">
        <v>53</v>
      </c>
      <c r="I83">
        <v>63</v>
      </c>
      <c r="J83">
        <v>55</v>
      </c>
      <c r="K83">
        <v>66</v>
      </c>
      <c r="L83">
        <v>60.2</v>
      </c>
      <c r="M83" t="s">
        <v>22</v>
      </c>
    </row>
    <row r="84" spans="1:13" x14ac:dyDescent="0.25">
      <c r="A84">
        <v>83</v>
      </c>
      <c r="B84" t="s">
        <v>13</v>
      </c>
      <c r="C84" t="s">
        <v>24</v>
      </c>
      <c r="D84" t="s">
        <v>15</v>
      </c>
      <c r="E84" t="s">
        <v>16</v>
      </c>
      <c r="F84" t="s">
        <v>21</v>
      </c>
      <c r="G84">
        <v>100</v>
      </c>
      <c r="H84">
        <v>95</v>
      </c>
      <c r="I84">
        <v>89</v>
      </c>
      <c r="J84">
        <v>99</v>
      </c>
      <c r="K84">
        <v>100</v>
      </c>
      <c r="L84">
        <v>96.6</v>
      </c>
      <c r="M84" t="s">
        <v>18</v>
      </c>
    </row>
    <row r="85" spans="1:13" x14ac:dyDescent="0.25">
      <c r="A85">
        <v>84</v>
      </c>
      <c r="B85" t="s">
        <v>28</v>
      </c>
      <c r="C85" t="s">
        <v>29</v>
      </c>
      <c r="D85" t="s">
        <v>30</v>
      </c>
      <c r="E85" t="s">
        <v>31</v>
      </c>
      <c r="F85" t="s">
        <v>21</v>
      </c>
      <c r="G85">
        <v>93</v>
      </c>
      <c r="H85">
        <v>96</v>
      </c>
      <c r="I85">
        <v>84</v>
      </c>
      <c r="J85">
        <v>65</v>
      </c>
      <c r="K85">
        <v>82</v>
      </c>
      <c r="L85">
        <v>84</v>
      </c>
      <c r="M85" t="s">
        <v>18</v>
      </c>
    </row>
    <row r="86" spans="1:13" x14ac:dyDescent="0.25">
      <c r="A86">
        <v>85</v>
      </c>
      <c r="B86" t="s">
        <v>23</v>
      </c>
      <c r="C86" t="s">
        <v>14</v>
      </c>
      <c r="D86" t="s">
        <v>20</v>
      </c>
      <c r="E86" t="s">
        <v>31</v>
      </c>
      <c r="F86" t="s">
        <v>17</v>
      </c>
      <c r="G86">
        <v>51</v>
      </c>
      <c r="H86">
        <v>63</v>
      </c>
      <c r="I86">
        <v>59</v>
      </c>
      <c r="J86">
        <v>66</v>
      </c>
      <c r="K86">
        <v>67</v>
      </c>
      <c r="L86">
        <v>61.2</v>
      </c>
      <c r="M86" t="s">
        <v>22</v>
      </c>
    </row>
    <row r="87" spans="1:13" x14ac:dyDescent="0.25">
      <c r="A87">
        <v>86</v>
      </c>
      <c r="B87" t="s">
        <v>23</v>
      </c>
      <c r="C87" t="s">
        <v>24</v>
      </c>
      <c r="D87" t="s">
        <v>33</v>
      </c>
      <c r="E87" t="s">
        <v>16</v>
      </c>
      <c r="F87" t="s">
        <v>17</v>
      </c>
      <c r="G87">
        <v>58</v>
      </c>
      <c r="H87">
        <v>41</v>
      </c>
      <c r="I87">
        <v>52</v>
      </c>
      <c r="J87">
        <v>38</v>
      </c>
      <c r="K87">
        <v>73</v>
      </c>
      <c r="L87">
        <v>52.4</v>
      </c>
      <c r="M87" t="s">
        <v>27</v>
      </c>
    </row>
    <row r="88" spans="1:13" x14ac:dyDescent="0.25">
      <c r="A88">
        <v>87</v>
      </c>
      <c r="B88" t="s">
        <v>19</v>
      </c>
      <c r="C88" t="s">
        <v>14</v>
      </c>
      <c r="D88" t="s">
        <v>33</v>
      </c>
      <c r="E88" t="s">
        <v>16</v>
      </c>
      <c r="F88" t="s">
        <v>25</v>
      </c>
      <c r="G88">
        <v>47</v>
      </c>
      <c r="H88">
        <v>56</v>
      </c>
      <c r="I88">
        <v>42</v>
      </c>
      <c r="J88">
        <v>65</v>
      </c>
      <c r="K88">
        <v>41</v>
      </c>
      <c r="L88">
        <v>50.2</v>
      </c>
      <c r="M88" t="s">
        <v>27</v>
      </c>
    </row>
    <row r="89" spans="1:13" x14ac:dyDescent="0.25">
      <c r="A89">
        <v>88</v>
      </c>
      <c r="B89" t="s">
        <v>19</v>
      </c>
      <c r="C89" t="s">
        <v>24</v>
      </c>
      <c r="D89" t="s">
        <v>30</v>
      </c>
      <c r="E89" t="s">
        <v>16</v>
      </c>
      <c r="F89" t="s">
        <v>25</v>
      </c>
      <c r="G89">
        <v>63</v>
      </c>
      <c r="H89">
        <v>83</v>
      </c>
      <c r="I89">
        <v>67</v>
      </c>
      <c r="J89">
        <v>88</v>
      </c>
      <c r="K89">
        <v>77</v>
      </c>
      <c r="L89">
        <v>75.599999999999994</v>
      </c>
      <c r="M89" t="s">
        <v>22</v>
      </c>
    </row>
    <row r="90" spans="1:13" x14ac:dyDescent="0.25">
      <c r="A90">
        <v>89</v>
      </c>
      <c r="B90" t="s">
        <v>19</v>
      </c>
      <c r="C90" t="s">
        <v>14</v>
      </c>
      <c r="D90" t="s">
        <v>30</v>
      </c>
      <c r="E90" t="s">
        <v>31</v>
      </c>
      <c r="F90" t="s">
        <v>21</v>
      </c>
      <c r="G90">
        <v>90</v>
      </c>
      <c r="H90">
        <v>80</v>
      </c>
      <c r="I90">
        <v>83</v>
      </c>
      <c r="J90">
        <v>98</v>
      </c>
      <c r="K90">
        <v>98</v>
      </c>
      <c r="L90">
        <v>89.8</v>
      </c>
      <c r="M90" t="s">
        <v>18</v>
      </c>
    </row>
    <row r="91" spans="1:13" x14ac:dyDescent="0.25">
      <c r="A91">
        <v>90</v>
      </c>
      <c r="B91" t="s">
        <v>13</v>
      </c>
      <c r="C91" t="s">
        <v>29</v>
      </c>
      <c r="D91" t="s">
        <v>33</v>
      </c>
      <c r="E91" t="s">
        <v>31</v>
      </c>
      <c r="F91" t="s">
        <v>21</v>
      </c>
      <c r="G91">
        <v>73</v>
      </c>
      <c r="H91">
        <v>55</v>
      </c>
      <c r="I91">
        <v>76</v>
      </c>
      <c r="J91">
        <v>65</v>
      </c>
      <c r="K91">
        <v>57</v>
      </c>
      <c r="L91">
        <v>65.2</v>
      </c>
      <c r="M91" t="s">
        <v>22</v>
      </c>
    </row>
    <row r="92" spans="1:13" x14ac:dyDescent="0.25">
      <c r="A92">
        <v>91</v>
      </c>
      <c r="B92" t="s">
        <v>13</v>
      </c>
      <c r="C92" t="s">
        <v>14</v>
      </c>
      <c r="D92" t="s">
        <v>32</v>
      </c>
      <c r="E92" t="s">
        <v>16</v>
      </c>
      <c r="F92" t="s">
        <v>21</v>
      </c>
      <c r="G92">
        <v>67</v>
      </c>
      <c r="H92">
        <v>86</v>
      </c>
      <c r="I92">
        <v>93</v>
      </c>
      <c r="J92">
        <v>81</v>
      </c>
      <c r="K92">
        <v>90</v>
      </c>
      <c r="L92">
        <v>83.4</v>
      </c>
      <c r="M92" t="s">
        <v>18</v>
      </c>
    </row>
    <row r="93" spans="1:13" x14ac:dyDescent="0.25">
      <c r="A93">
        <v>92</v>
      </c>
      <c r="B93" t="s">
        <v>19</v>
      </c>
      <c r="C93" t="s">
        <v>14</v>
      </c>
      <c r="D93" t="s">
        <v>30</v>
      </c>
      <c r="E93" t="s">
        <v>31</v>
      </c>
      <c r="F93" t="s">
        <v>21</v>
      </c>
      <c r="G93">
        <v>69</v>
      </c>
      <c r="H93">
        <v>76</v>
      </c>
      <c r="I93">
        <v>92</v>
      </c>
      <c r="J93">
        <v>91</v>
      </c>
      <c r="K93">
        <v>79</v>
      </c>
      <c r="L93">
        <v>81.400000000000006</v>
      </c>
      <c r="M93" t="s">
        <v>18</v>
      </c>
    </row>
    <row r="94" spans="1:13" x14ac:dyDescent="0.25">
      <c r="A94">
        <v>93</v>
      </c>
      <c r="B94" t="s">
        <v>13</v>
      </c>
      <c r="C94" t="s">
        <v>14</v>
      </c>
      <c r="D94" t="s">
        <v>30</v>
      </c>
      <c r="E94" t="s">
        <v>16</v>
      </c>
      <c r="F94" t="s">
        <v>25</v>
      </c>
      <c r="G94">
        <v>63</v>
      </c>
      <c r="H94">
        <v>70</v>
      </c>
      <c r="I94">
        <v>66</v>
      </c>
      <c r="J94">
        <v>77</v>
      </c>
      <c r="K94">
        <v>80</v>
      </c>
      <c r="L94">
        <v>71.2</v>
      </c>
      <c r="M94" t="s">
        <v>22</v>
      </c>
    </row>
    <row r="95" spans="1:13" x14ac:dyDescent="0.25">
      <c r="A95">
        <v>94</v>
      </c>
      <c r="B95" t="s">
        <v>19</v>
      </c>
      <c r="C95" t="s">
        <v>14</v>
      </c>
      <c r="D95" t="s">
        <v>20</v>
      </c>
      <c r="E95" t="s">
        <v>16</v>
      </c>
      <c r="F95" t="s">
        <v>17</v>
      </c>
      <c r="G95">
        <v>76</v>
      </c>
      <c r="H95">
        <v>57</v>
      </c>
      <c r="I95">
        <v>72</v>
      </c>
      <c r="J95">
        <v>70</v>
      </c>
      <c r="K95">
        <v>56</v>
      </c>
      <c r="L95">
        <v>66.2</v>
      </c>
      <c r="M95" t="s">
        <v>22</v>
      </c>
    </row>
    <row r="96" spans="1:13" x14ac:dyDescent="0.25">
      <c r="A96">
        <v>95</v>
      </c>
      <c r="B96" t="s">
        <v>26</v>
      </c>
      <c r="C96" t="s">
        <v>24</v>
      </c>
      <c r="D96" t="s">
        <v>32</v>
      </c>
      <c r="E96" t="s">
        <v>16</v>
      </c>
      <c r="F96" t="s">
        <v>21</v>
      </c>
      <c r="G96">
        <v>96</v>
      </c>
      <c r="H96">
        <v>86</v>
      </c>
      <c r="I96">
        <v>100</v>
      </c>
      <c r="J96">
        <v>99</v>
      </c>
      <c r="K96">
        <v>100</v>
      </c>
      <c r="L96">
        <v>96.2</v>
      </c>
      <c r="M96" t="s">
        <v>18</v>
      </c>
    </row>
    <row r="97" spans="1:13" x14ac:dyDescent="0.25">
      <c r="A97">
        <v>96</v>
      </c>
      <c r="B97" t="s">
        <v>13</v>
      </c>
      <c r="C97" t="s">
        <v>24</v>
      </c>
      <c r="D97" t="s">
        <v>20</v>
      </c>
      <c r="E97" t="s">
        <v>31</v>
      </c>
      <c r="F97" t="s">
        <v>21</v>
      </c>
      <c r="G97">
        <v>82</v>
      </c>
      <c r="H97">
        <v>73</v>
      </c>
      <c r="I97">
        <v>69</v>
      </c>
      <c r="J97">
        <v>71</v>
      </c>
      <c r="K97">
        <v>62</v>
      </c>
      <c r="L97">
        <v>71.400000000000006</v>
      </c>
      <c r="M97" t="s">
        <v>22</v>
      </c>
    </row>
    <row r="98" spans="1:13" x14ac:dyDescent="0.25">
      <c r="A98">
        <v>97</v>
      </c>
      <c r="B98" t="s">
        <v>13</v>
      </c>
      <c r="C98" t="s">
        <v>29</v>
      </c>
      <c r="D98" t="s">
        <v>15</v>
      </c>
      <c r="E98" t="s">
        <v>16</v>
      </c>
      <c r="F98" t="s">
        <v>25</v>
      </c>
      <c r="G98">
        <v>99</v>
      </c>
      <c r="H98">
        <v>72</v>
      </c>
      <c r="I98">
        <v>81</v>
      </c>
      <c r="J98">
        <v>93</v>
      </c>
      <c r="K98">
        <v>84</v>
      </c>
      <c r="L98">
        <v>85.8</v>
      </c>
      <c r="M98" t="s">
        <v>18</v>
      </c>
    </row>
    <row r="99" spans="1:13" x14ac:dyDescent="0.25">
      <c r="A99">
        <v>98</v>
      </c>
      <c r="B99" t="s">
        <v>26</v>
      </c>
      <c r="C99" t="s">
        <v>24</v>
      </c>
      <c r="D99" t="s">
        <v>32</v>
      </c>
      <c r="E99" t="s">
        <v>16</v>
      </c>
      <c r="F99" t="s">
        <v>21</v>
      </c>
      <c r="G99">
        <v>71</v>
      </c>
      <c r="H99">
        <v>84</v>
      </c>
      <c r="I99">
        <v>80</v>
      </c>
      <c r="J99">
        <v>88</v>
      </c>
      <c r="K99">
        <v>92</v>
      </c>
      <c r="L99">
        <v>83</v>
      </c>
      <c r="M99" t="s">
        <v>18</v>
      </c>
    </row>
    <row r="100" spans="1:13" x14ac:dyDescent="0.25">
      <c r="A100">
        <v>99</v>
      </c>
      <c r="B100" t="s">
        <v>19</v>
      </c>
      <c r="C100" t="s">
        <v>29</v>
      </c>
      <c r="D100" t="s">
        <v>20</v>
      </c>
      <c r="E100" t="s">
        <v>31</v>
      </c>
      <c r="F100" t="s">
        <v>17</v>
      </c>
      <c r="G100">
        <v>54</v>
      </c>
      <c r="H100">
        <v>41</v>
      </c>
      <c r="I100">
        <v>79</v>
      </c>
      <c r="J100">
        <v>67</v>
      </c>
      <c r="K100">
        <v>59</v>
      </c>
      <c r="L100">
        <v>60</v>
      </c>
      <c r="M100" t="s">
        <v>22</v>
      </c>
    </row>
    <row r="101" spans="1:13" x14ac:dyDescent="0.25">
      <c r="A101">
        <v>100</v>
      </c>
      <c r="B101" t="s">
        <v>13</v>
      </c>
      <c r="C101" t="s">
        <v>24</v>
      </c>
      <c r="D101" t="s">
        <v>33</v>
      </c>
      <c r="E101" t="s">
        <v>16</v>
      </c>
      <c r="F101" t="s">
        <v>21</v>
      </c>
      <c r="G101">
        <v>67</v>
      </c>
      <c r="H101">
        <v>59</v>
      </c>
      <c r="I101">
        <v>52</v>
      </c>
      <c r="J101">
        <v>75</v>
      </c>
      <c r="K101">
        <v>67</v>
      </c>
      <c r="L101">
        <v>64</v>
      </c>
      <c r="M101" t="s">
        <v>22</v>
      </c>
    </row>
    <row r="102" spans="1:13" x14ac:dyDescent="0.25">
      <c r="A102">
        <v>101</v>
      </c>
      <c r="B102" t="s">
        <v>28</v>
      </c>
      <c r="C102" t="s">
        <v>24</v>
      </c>
      <c r="D102" t="s">
        <v>20</v>
      </c>
      <c r="E102" t="s">
        <v>16</v>
      </c>
      <c r="F102" t="s">
        <v>21</v>
      </c>
      <c r="G102">
        <v>76</v>
      </c>
      <c r="H102">
        <v>78</v>
      </c>
      <c r="I102">
        <v>69</v>
      </c>
      <c r="J102">
        <v>77</v>
      </c>
      <c r="K102">
        <v>88</v>
      </c>
      <c r="L102">
        <v>77.599999999999994</v>
      </c>
      <c r="M102" t="s">
        <v>22</v>
      </c>
    </row>
    <row r="103" spans="1:13" x14ac:dyDescent="0.25">
      <c r="A103">
        <v>102</v>
      </c>
      <c r="B103" t="s">
        <v>28</v>
      </c>
      <c r="C103" t="s">
        <v>14</v>
      </c>
      <c r="D103" t="s">
        <v>15</v>
      </c>
      <c r="E103" t="s">
        <v>31</v>
      </c>
      <c r="F103" t="s">
        <v>25</v>
      </c>
      <c r="G103">
        <v>89</v>
      </c>
      <c r="H103">
        <v>100</v>
      </c>
      <c r="I103">
        <v>77</v>
      </c>
      <c r="J103">
        <v>80</v>
      </c>
      <c r="K103">
        <v>100</v>
      </c>
      <c r="L103">
        <v>89.2</v>
      </c>
      <c r="M103" t="s">
        <v>18</v>
      </c>
    </row>
    <row r="104" spans="1:13" x14ac:dyDescent="0.25">
      <c r="A104">
        <v>103</v>
      </c>
      <c r="B104" t="s">
        <v>26</v>
      </c>
      <c r="C104" t="s">
        <v>24</v>
      </c>
      <c r="D104" t="s">
        <v>32</v>
      </c>
      <c r="E104" t="s">
        <v>31</v>
      </c>
      <c r="F104" t="s">
        <v>25</v>
      </c>
      <c r="G104">
        <v>85</v>
      </c>
      <c r="H104">
        <v>79</v>
      </c>
      <c r="I104">
        <v>76</v>
      </c>
      <c r="J104">
        <v>89</v>
      </c>
      <c r="K104">
        <v>78</v>
      </c>
      <c r="L104">
        <v>81.400000000000006</v>
      </c>
      <c r="M104" t="s">
        <v>18</v>
      </c>
    </row>
    <row r="105" spans="1:13" x14ac:dyDescent="0.25">
      <c r="A105">
        <v>104</v>
      </c>
      <c r="B105" t="s">
        <v>13</v>
      </c>
      <c r="C105" t="s">
        <v>24</v>
      </c>
      <c r="D105" t="s">
        <v>30</v>
      </c>
      <c r="E105" t="s">
        <v>31</v>
      </c>
      <c r="F105" t="s">
        <v>17</v>
      </c>
      <c r="G105">
        <v>86</v>
      </c>
      <c r="H105">
        <v>58</v>
      </c>
      <c r="I105">
        <v>65</v>
      </c>
      <c r="J105">
        <v>71</v>
      </c>
      <c r="K105">
        <v>68</v>
      </c>
      <c r="L105">
        <v>69.599999999999994</v>
      </c>
      <c r="M105" t="s">
        <v>22</v>
      </c>
    </row>
    <row r="106" spans="1:13" x14ac:dyDescent="0.25">
      <c r="A106">
        <v>105</v>
      </c>
      <c r="B106" t="s">
        <v>19</v>
      </c>
      <c r="C106" t="s">
        <v>24</v>
      </c>
      <c r="D106" t="s">
        <v>30</v>
      </c>
      <c r="E106" t="s">
        <v>16</v>
      </c>
      <c r="F106" t="s">
        <v>17</v>
      </c>
      <c r="G106">
        <v>64</v>
      </c>
      <c r="H106">
        <v>66</v>
      </c>
      <c r="I106">
        <v>62</v>
      </c>
      <c r="J106">
        <v>61</v>
      </c>
      <c r="K106">
        <v>64</v>
      </c>
      <c r="L106">
        <v>63.4</v>
      </c>
      <c r="M106" t="s">
        <v>22</v>
      </c>
    </row>
    <row r="107" spans="1:13" x14ac:dyDescent="0.25">
      <c r="A107">
        <v>106</v>
      </c>
      <c r="B107" t="s">
        <v>28</v>
      </c>
      <c r="C107" t="s">
        <v>14</v>
      </c>
      <c r="D107" t="s">
        <v>15</v>
      </c>
      <c r="E107" t="s">
        <v>31</v>
      </c>
      <c r="F107" t="s">
        <v>25</v>
      </c>
      <c r="G107">
        <v>73</v>
      </c>
      <c r="H107">
        <v>88</v>
      </c>
      <c r="I107">
        <v>85</v>
      </c>
      <c r="J107">
        <v>84</v>
      </c>
      <c r="K107">
        <v>91</v>
      </c>
      <c r="L107">
        <v>84.2</v>
      </c>
      <c r="M107" t="s">
        <v>18</v>
      </c>
    </row>
    <row r="108" spans="1:13" x14ac:dyDescent="0.25">
      <c r="A108">
        <v>107</v>
      </c>
      <c r="B108" t="s">
        <v>28</v>
      </c>
      <c r="C108" t="s">
        <v>14</v>
      </c>
      <c r="D108" t="s">
        <v>32</v>
      </c>
      <c r="E108" t="s">
        <v>31</v>
      </c>
      <c r="F108" t="s">
        <v>17</v>
      </c>
      <c r="G108">
        <v>88</v>
      </c>
      <c r="H108">
        <v>89</v>
      </c>
      <c r="I108">
        <v>92</v>
      </c>
      <c r="J108">
        <v>77</v>
      </c>
      <c r="K108">
        <v>96</v>
      </c>
      <c r="L108">
        <v>88.4</v>
      </c>
      <c r="M108" t="s">
        <v>18</v>
      </c>
    </row>
    <row r="109" spans="1:13" x14ac:dyDescent="0.25">
      <c r="A109">
        <v>108</v>
      </c>
      <c r="B109" t="s">
        <v>23</v>
      </c>
      <c r="C109" t="s">
        <v>24</v>
      </c>
      <c r="D109" t="s">
        <v>30</v>
      </c>
      <c r="E109" t="s">
        <v>31</v>
      </c>
      <c r="F109" t="s">
        <v>17</v>
      </c>
      <c r="G109">
        <v>62</v>
      </c>
      <c r="H109">
        <v>68</v>
      </c>
      <c r="I109">
        <v>72</v>
      </c>
      <c r="J109">
        <v>72</v>
      </c>
      <c r="K109">
        <v>64</v>
      </c>
      <c r="L109">
        <v>67.599999999999994</v>
      </c>
      <c r="M109" t="s">
        <v>22</v>
      </c>
    </row>
    <row r="110" spans="1:13" x14ac:dyDescent="0.25">
      <c r="A110">
        <v>109</v>
      </c>
      <c r="B110" t="s">
        <v>28</v>
      </c>
      <c r="C110" t="s">
        <v>29</v>
      </c>
      <c r="D110" t="s">
        <v>15</v>
      </c>
      <c r="E110" t="s">
        <v>16</v>
      </c>
      <c r="F110" t="s">
        <v>25</v>
      </c>
      <c r="G110">
        <v>100</v>
      </c>
      <c r="H110">
        <v>89</v>
      </c>
      <c r="I110">
        <v>73</v>
      </c>
      <c r="J110">
        <v>92</v>
      </c>
      <c r="K110">
        <v>81</v>
      </c>
      <c r="L110">
        <v>87</v>
      </c>
      <c r="M110" t="s">
        <v>18</v>
      </c>
    </row>
    <row r="111" spans="1:13" x14ac:dyDescent="0.25">
      <c r="A111">
        <v>110</v>
      </c>
      <c r="B111" t="s">
        <v>26</v>
      </c>
      <c r="C111" t="s">
        <v>24</v>
      </c>
      <c r="D111" t="s">
        <v>20</v>
      </c>
      <c r="E111" t="s">
        <v>31</v>
      </c>
      <c r="F111" t="s">
        <v>17</v>
      </c>
      <c r="G111">
        <v>50</v>
      </c>
      <c r="H111">
        <v>44</v>
      </c>
      <c r="I111">
        <v>45</v>
      </c>
      <c r="J111">
        <v>55</v>
      </c>
      <c r="K111">
        <v>74</v>
      </c>
      <c r="L111">
        <v>53.6</v>
      </c>
      <c r="M111" t="s">
        <v>27</v>
      </c>
    </row>
    <row r="112" spans="1:13" x14ac:dyDescent="0.25">
      <c r="A112">
        <v>111</v>
      </c>
      <c r="B112" t="s">
        <v>13</v>
      </c>
      <c r="C112" t="s">
        <v>29</v>
      </c>
      <c r="D112" t="s">
        <v>30</v>
      </c>
      <c r="E112" t="s">
        <v>31</v>
      </c>
      <c r="F112" t="s">
        <v>21</v>
      </c>
      <c r="G112">
        <v>75</v>
      </c>
      <c r="H112">
        <v>82</v>
      </c>
      <c r="I112">
        <v>88</v>
      </c>
      <c r="J112">
        <v>77</v>
      </c>
      <c r="K112">
        <v>75</v>
      </c>
      <c r="L112">
        <v>79.400000000000006</v>
      </c>
      <c r="M112" t="s">
        <v>22</v>
      </c>
    </row>
    <row r="113" spans="1:13" x14ac:dyDescent="0.25">
      <c r="A113">
        <v>112</v>
      </c>
      <c r="B113" t="s">
        <v>19</v>
      </c>
      <c r="C113" t="s">
        <v>14</v>
      </c>
      <c r="D113" t="s">
        <v>20</v>
      </c>
      <c r="E113" t="s">
        <v>16</v>
      </c>
      <c r="F113" t="s">
        <v>25</v>
      </c>
      <c r="G113">
        <v>65</v>
      </c>
      <c r="H113">
        <v>57</v>
      </c>
      <c r="I113">
        <v>50</v>
      </c>
      <c r="J113">
        <v>74</v>
      </c>
      <c r="K113">
        <v>61</v>
      </c>
      <c r="L113">
        <v>61.4</v>
      </c>
      <c r="M113" t="s">
        <v>22</v>
      </c>
    </row>
    <row r="114" spans="1:13" x14ac:dyDescent="0.25">
      <c r="A114">
        <v>113</v>
      </c>
      <c r="B114" t="s">
        <v>28</v>
      </c>
      <c r="C114" t="s">
        <v>29</v>
      </c>
      <c r="D114" t="s">
        <v>20</v>
      </c>
      <c r="E114" t="s">
        <v>31</v>
      </c>
      <c r="F114" t="s">
        <v>21</v>
      </c>
      <c r="G114">
        <v>49</v>
      </c>
      <c r="H114">
        <v>83</v>
      </c>
      <c r="I114">
        <v>79</v>
      </c>
      <c r="J114">
        <v>71</v>
      </c>
      <c r="K114">
        <v>47</v>
      </c>
      <c r="L114">
        <v>65.8</v>
      </c>
      <c r="M114" t="s">
        <v>22</v>
      </c>
    </row>
    <row r="115" spans="1:13" x14ac:dyDescent="0.25">
      <c r="A115">
        <v>114</v>
      </c>
      <c r="B115" t="s">
        <v>23</v>
      </c>
      <c r="C115" t="s">
        <v>29</v>
      </c>
      <c r="D115" t="s">
        <v>33</v>
      </c>
      <c r="E115" t="s">
        <v>16</v>
      </c>
      <c r="F115" t="s">
        <v>21</v>
      </c>
      <c r="G115">
        <v>66</v>
      </c>
      <c r="H115">
        <v>51</v>
      </c>
      <c r="I115">
        <v>65</v>
      </c>
      <c r="J115">
        <v>59</v>
      </c>
      <c r="K115">
        <v>62</v>
      </c>
      <c r="L115">
        <v>60.6</v>
      </c>
      <c r="M115" t="s">
        <v>22</v>
      </c>
    </row>
    <row r="116" spans="1:13" x14ac:dyDescent="0.25">
      <c r="A116">
        <v>115</v>
      </c>
      <c r="B116" t="s">
        <v>13</v>
      </c>
      <c r="C116" t="s">
        <v>29</v>
      </c>
      <c r="D116" t="s">
        <v>33</v>
      </c>
      <c r="E116" t="s">
        <v>16</v>
      </c>
      <c r="F116" t="s">
        <v>17</v>
      </c>
      <c r="G116">
        <v>58</v>
      </c>
      <c r="H116">
        <v>52</v>
      </c>
      <c r="I116">
        <v>67</v>
      </c>
      <c r="J116">
        <v>48</v>
      </c>
      <c r="K116">
        <v>55</v>
      </c>
      <c r="L116">
        <v>56</v>
      </c>
      <c r="M116" t="s">
        <v>27</v>
      </c>
    </row>
    <row r="117" spans="1:13" x14ac:dyDescent="0.25">
      <c r="A117">
        <v>116</v>
      </c>
      <c r="B117" t="s">
        <v>19</v>
      </c>
      <c r="C117" t="s">
        <v>29</v>
      </c>
      <c r="D117" t="s">
        <v>32</v>
      </c>
      <c r="E117" t="s">
        <v>31</v>
      </c>
      <c r="F117" t="s">
        <v>25</v>
      </c>
      <c r="G117">
        <v>100</v>
      </c>
      <c r="H117">
        <v>85</v>
      </c>
      <c r="I117">
        <v>65</v>
      </c>
      <c r="J117">
        <v>76</v>
      </c>
      <c r="K117">
        <v>78</v>
      </c>
      <c r="L117">
        <v>80.8</v>
      </c>
      <c r="M117" t="s">
        <v>18</v>
      </c>
    </row>
    <row r="118" spans="1:13" x14ac:dyDescent="0.25">
      <c r="A118">
        <v>117</v>
      </c>
      <c r="B118" t="s">
        <v>19</v>
      </c>
      <c r="C118" t="s">
        <v>14</v>
      </c>
      <c r="D118" t="s">
        <v>32</v>
      </c>
      <c r="E118" t="s">
        <v>16</v>
      </c>
      <c r="F118" t="s">
        <v>17</v>
      </c>
      <c r="G118">
        <v>78</v>
      </c>
      <c r="H118">
        <v>78</v>
      </c>
      <c r="I118">
        <v>97</v>
      </c>
      <c r="J118">
        <v>81</v>
      </c>
      <c r="K118">
        <v>80</v>
      </c>
      <c r="L118">
        <v>82.8</v>
      </c>
      <c r="M118" t="s">
        <v>18</v>
      </c>
    </row>
    <row r="119" spans="1:13" x14ac:dyDescent="0.25">
      <c r="A119">
        <v>118</v>
      </c>
      <c r="B119" t="s">
        <v>28</v>
      </c>
      <c r="C119" t="s">
        <v>24</v>
      </c>
      <c r="D119" t="s">
        <v>32</v>
      </c>
      <c r="E119" t="s">
        <v>16</v>
      </c>
      <c r="F119" t="s">
        <v>21</v>
      </c>
      <c r="G119">
        <v>96</v>
      </c>
      <c r="H119">
        <v>83</v>
      </c>
      <c r="I119">
        <v>90</v>
      </c>
      <c r="J119">
        <v>98</v>
      </c>
      <c r="K119">
        <v>92</v>
      </c>
      <c r="L119">
        <v>91.8</v>
      </c>
      <c r="M119" t="s">
        <v>18</v>
      </c>
    </row>
    <row r="120" spans="1:13" x14ac:dyDescent="0.25">
      <c r="A120">
        <v>119</v>
      </c>
      <c r="B120" t="s">
        <v>26</v>
      </c>
      <c r="C120" t="s">
        <v>29</v>
      </c>
      <c r="D120" t="s">
        <v>20</v>
      </c>
      <c r="E120" t="s">
        <v>31</v>
      </c>
      <c r="F120" t="s">
        <v>21</v>
      </c>
      <c r="G120">
        <v>72</v>
      </c>
      <c r="H120">
        <v>83</v>
      </c>
      <c r="I120">
        <v>66</v>
      </c>
      <c r="J120">
        <v>48</v>
      </c>
      <c r="K120">
        <v>65</v>
      </c>
      <c r="L120">
        <v>66.8</v>
      </c>
      <c r="M120" t="s">
        <v>22</v>
      </c>
    </row>
    <row r="121" spans="1:13" x14ac:dyDescent="0.25">
      <c r="A121">
        <v>120</v>
      </c>
      <c r="B121" t="s">
        <v>26</v>
      </c>
      <c r="C121" t="s">
        <v>14</v>
      </c>
      <c r="D121" t="s">
        <v>20</v>
      </c>
      <c r="E121" t="s">
        <v>16</v>
      </c>
      <c r="F121" t="s">
        <v>25</v>
      </c>
      <c r="G121">
        <v>57</v>
      </c>
      <c r="H121">
        <v>60</v>
      </c>
      <c r="I121">
        <v>54</v>
      </c>
      <c r="J121">
        <v>68</v>
      </c>
      <c r="K121">
        <v>62</v>
      </c>
      <c r="L121">
        <v>60.2</v>
      </c>
      <c r="M121" t="s">
        <v>22</v>
      </c>
    </row>
    <row r="122" spans="1:13" x14ac:dyDescent="0.25">
      <c r="A122">
        <v>121</v>
      </c>
      <c r="B122" t="s">
        <v>23</v>
      </c>
      <c r="C122" t="s">
        <v>24</v>
      </c>
      <c r="D122" t="s">
        <v>15</v>
      </c>
      <c r="E122" t="s">
        <v>31</v>
      </c>
      <c r="F122" t="s">
        <v>17</v>
      </c>
      <c r="G122">
        <v>82</v>
      </c>
      <c r="H122">
        <v>98</v>
      </c>
      <c r="I122">
        <v>76</v>
      </c>
      <c r="J122">
        <v>82</v>
      </c>
      <c r="K122">
        <v>97</v>
      </c>
      <c r="L122">
        <v>87</v>
      </c>
      <c r="M122" t="s">
        <v>18</v>
      </c>
    </row>
    <row r="123" spans="1:13" x14ac:dyDescent="0.25">
      <c r="A123">
        <v>122</v>
      </c>
      <c r="B123" t="s">
        <v>19</v>
      </c>
      <c r="C123" t="s">
        <v>14</v>
      </c>
      <c r="D123" t="s">
        <v>15</v>
      </c>
      <c r="E123" t="s">
        <v>31</v>
      </c>
      <c r="F123" t="s">
        <v>21</v>
      </c>
      <c r="G123">
        <v>92</v>
      </c>
      <c r="H123">
        <v>100</v>
      </c>
      <c r="I123">
        <v>100</v>
      </c>
      <c r="J123">
        <v>100</v>
      </c>
      <c r="K123">
        <v>84</v>
      </c>
      <c r="L123">
        <v>95.2</v>
      </c>
      <c r="M123" t="s">
        <v>18</v>
      </c>
    </row>
    <row r="124" spans="1:13" x14ac:dyDescent="0.25">
      <c r="A124">
        <v>123</v>
      </c>
      <c r="B124" t="s">
        <v>28</v>
      </c>
      <c r="C124" t="s">
        <v>29</v>
      </c>
      <c r="D124" t="s">
        <v>32</v>
      </c>
      <c r="E124" t="s">
        <v>31</v>
      </c>
      <c r="F124" t="s">
        <v>25</v>
      </c>
      <c r="G124">
        <v>77</v>
      </c>
      <c r="H124">
        <v>92</v>
      </c>
      <c r="I124">
        <v>79</v>
      </c>
      <c r="J124">
        <v>85</v>
      </c>
      <c r="K124">
        <v>69</v>
      </c>
      <c r="L124">
        <v>80.400000000000006</v>
      </c>
      <c r="M124" t="s">
        <v>18</v>
      </c>
    </row>
    <row r="125" spans="1:13" x14ac:dyDescent="0.25">
      <c r="A125">
        <v>124</v>
      </c>
      <c r="B125" t="s">
        <v>19</v>
      </c>
      <c r="C125" t="s">
        <v>24</v>
      </c>
      <c r="D125" t="s">
        <v>15</v>
      </c>
      <c r="E125" t="s">
        <v>16</v>
      </c>
      <c r="F125" t="s">
        <v>17</v>
      </c>
      <c r="G125">
        <v>91</v>
      </c>
      <c r="H125">
        <v>87</v>
      </c>
      <c r="I125">
        <v>81</v>
      </c>
      <c r="J125">
        <v>98</v>
      </c>
      <c r="K125">
        <v>94</v>
      </c>
      <c r="L125">
        <v>90.2</v>
      </c>
      <c r="M125" t="s">
        <v>18</v>
      </c>
    </row>
    <row r="126" spans="1:13" x14ac:dyDescent="0.25">
      <c r="A126">
        <v>125</v>
      </c>
      <c r="B126" t="s">
        <v>26</v>
      </c>
      <c r="C126" t="s">
        <v>14</v>
      </c>
      <c r="D126" t="s">
        <v>33</v>
      </c>
      <c r="E126" t="s">
        <v>31</v>
      </c>
      <c r="F126" t="s">
        <v>21</v>
      </c>
      <c r="G126">
        <v>44</v>
      </c>
      <c r="H126">
        <v>52</v>
      </c>
      <c r="I126">
        <v>40</v>
      </c>
      <c r="J126">
        <v>68</v>
      </c>
      <c r="K126">
        <v>67</v>
      </c>
      <c r="L126">
        <v>54.2</v>
      </c>
      <c r="M126" t="s">
        <v>27</v>
      </c>
    </row>
    <row r="127" spans="1:13" x14ac:dyDescent="0.25">
      <c r="A127">
        <v>126</v>
      </c>
      <c r="B127" t="s">
        <v>26</v>
      </c>
      <c r="C127" t="s">
        <v>14</v>
      </c>
      <c r="D127" t="s">
        <v>30</v>
      </c>
      <c r="E127" t="s">
        <v>31</v>
      </c>
      <c r="F127" t="s">
        <v>17</v>
      </c>
      <c r="G127">
        <v>68</v>
      </c>
      <c r="H127">
        <v>65</v>
      </c>
      <c r="I127">
        <v>68</v>
      </c>
      <c r="J127">
        <v>68</v>
      </c>
      <c r="K127">
        <v>66</v>
      </c>
      <c r="L127">
        <v>67</v>
      </c>
      <c r="M127" t="s">
        <v>22</v>
      </c>
    </row>
    <row r="128" spans="1:13" x14ac:dyDescent="0.25">
      <c r="A128">
        <v>127</v>
      </c>
      <c r="B128" t="s">
        <v>13</v>
      </c>
      <c r="C128" t="s">
        <v>29</v>
      </c>
      <c r="D128" t="s">
        <v>15</v>
      </c>
      <c r="E128" t="s">
        <v>31</v>
      </c>
      <c r="F128" t="s">
        <v>25</v>
      </c>
      <c r="G128">
        <v>71</v>
      </c>
      <c r="H128">
        <v>79</v>
      </c>
      <c r="I128">
        <v>100</v>
      </c>
      <c r="J128">
        <v>65</v>
      </c>
      <c r="K128">
        <v>93</v>
      </c>
      <c r="L128">
        <v>81.599999999999994</v>
      </c>
      <c r="M128" t="s">
        <v>18</v>
      </c>
    </row>
    <row r="129" spans="1:13" x14ac:dyDescent="0.25">
      <c r="A129">
        <v>128</v>
      </c>
      <c r="B129" t="s">
        <v>19</v>
      </c>
      <c r="C129" t="s">
        <v>29</v>
      </c>
      <c r="D129" t="s">
        <v>15</v>
      </c>
      <c r="E129" t="s">
        <v>31</v>
      </c>
      <c r="F129" t="s">
        <v>17</v>
      </c>
      <c r="G129">
        <v>72</v>
      </c>
      <c r="H129">
        <v>82</v>
      </c>
      <c r="I129">
        <v>100</v>
      </c>
      <c r="J129">
        <v>93</v>
      </c>
      <c r="K129">
        <v>80</v>
      </c>
      <c r="L129">
        <v>85.4</v>
      </c>
      <c r="M129" t="s">
        <v>18</v>
      </c>
    </row>
    <row r="130" spans="1:13" x14ac:dyDescent="0.25">
      <c r="A130">
        <v>129</v>
      </c>
      <c r="B130" t="s">
        <v>19</v>
      </c>
      <c r="C130" t="s">
        <v>14</v>
      </c>
      <c r="D130" t="s">
        <v>15</v>
      </c>
      <c r="E130" t="s">
        <v>31</v>
      </c>
      <c r="F130" t="s">
        <v>17</v>
      </c>
      <c r="G130">
        <v>83</v>
      </c>
      <c r="H130">
        <v>58</v>
      </c>
      <c r="I130">
        <v>95</v>
      </c>
      <c r="J130">
        <v>91</v>
      </c>
      <c r="K130">
        <v>77</v>
      </c>
      <c r="L130">
        <v>80.8</v>
      </c>
      <c r="M130" t="s">
        <v>18</v>
      </c>
    </row>
    <row r="131" spans="1:13" x14ac:dyDescent="0.25">
      <c r="A131">
        <v>130</v>
      </c>
      <c r="B131" t="s">
        <v>26</v>
      </c>
      <c r="C131" t="s">
        <v>24</v>
      </c>
      <c r="D131" t="s">
        <v>30</v>
      </c>
      <c r="E131" t="s">
        <v>16</v>
      </c>
      <c r="F131" t="s">
        <v>21</v>
      </c>
      <c r="G131">
        <v>87</v>
      </c>
      <c r="H131">
        <v>62</v>
      </c>
      <c r="I131">
        <v>68</v>
      </c>
      <c r="J131">
        <v>89</v>
      </c>
      <c r="K131">
        <v>93</v>
      </c>
      <c r="L131">
        <v>79.8</v>
      </c>
      <c r="M131" t="s">
        <v>22</v>
      </c>
    </row>
    <row r="132" spans="1:13" x14ac:dyDescent="0.25">
      <c r="A132">
        <v>131</v>
      </c>
      <c r="B132" t="s">
        <v>23</v>
      </c>
      <c r="C132" t="s">
        <v>29</v>
      </c>
      <c r="D132" t="s">
        <v>30</v>
      </c>
      <c r="E132" t="s">
        <v>31</v>
      </c>
      <c r="F132" t="s">
        <v>25</v>
      </c>
      <c r="G132">
        <v>68</v>
      </c>
      <c r="H132">
        <v>65</v>
      </c>
      <c r="I132">
        <v>67</v>
      </c>
      <c r="J132">
        <v>77</v>
      </c>
      <c r="K132">
        <v>75</v>
      </c>
      <c r="L132">
        <v>70.400000000000006</v>
      </c>
      <c r="M132" t="s">
        <v>22</v>
      </c>
    </row>
    <row r="133" spans="1:13" x14ac:dyDescent="0.25">
      <c r="A133">
        <v>132</v>
      </c>
      <c r="B133" t="s">
        <v>26</v>
      </c>
      <c r="C133" t="s">
        <v>29</v>
      </c>
      <c r="D133" t="s">
        <v>33</v>
      </c>
      <c r="E133" t="s">
        <v>16</v>
      </c>
      <c r="F133" t="s">
        <v>25</v>
      </c>
      <c r="G133">
        <v>48</v>
      </c>
      <c r="H133">
        <v>44</v>
      </c>
      <c r="I133">
        <v>51</v>
      </c>
      <c r="J133">
        <v>58</v>
      </c>
      <c r="K133">
        <v>81</v>
      </c>
      <c r="L133">
        <v>56.4</v>
      </c>
      <c r="M133" t="s">
        <v>27</v>
      </c>
    </row>
    <row r="134" spans="1:13" x14ac:dyDescent="0.25">
      <c r="A134">
        <v>133</v>
      </c>
      <c r="B134" t="s">
        <v>19</v>
      </c>
      <c r="C134" t="s">
        <v>14</v>
      </c>
      <c r="D134" t="s">
        <v>30</v>
      </c>
      <c r="E134" t="s">
        <v>16</v>
      </c>
      <c r="F134" t="s">
        <v>17</v>
      </c>
      <c r="G134">
        <v>73</v>
      </c>
      <c r="H134">
        <v>55</v>
      </c>
      <c r="I134">
        <v>70</v>
      </c>
      <c r="J134">
        <v>76</v>
      </c>
      <c r="K134">
        <v>61</v>
      </c>
      <c r="L134">
        <v>67</v>
      </c>
      <c r="M134" t="s">
        <v>22</v>
      </c>
    </row>
    <row r="135" spans="1:13" x14ac:dyDescent="0.25">
      <c r="A135">
        <v>134</v>
      </c>
      <c r="B135" t="s">
        <v>26</v>
      </c>
      <c r="C135" t="s">
        <v>14</v>
      </c>
      <c r="D135" t="s">
        <v>33</v>
      </c>
      <c r="E135" t="s">
        <v>16</v>
      </c>
      <c r="F135" t="s">
        <v>21</v>
      </c>
      <c r="G135">
        <v>58</v>
      </c>
      <c r="H135">
        <v>67</v>
      </c>
      <c r="I135">
        <v>42</v>
      </c>
      <c r="J135">
        <v>75</v>
      </c>
      <c r="K135">
        <v>66</v>
      </c>
      <c r="L135">
        <v>61.6</v>
      </c>
      <c r="M135" t="s">
        <v>22</v>
      </c>
    </row>
    <row r="136" spans="1:13" x14ac:dyDescent="0.25">
      <c r="A136">
        <v>135</v>
      </c>
      <c r="B136" t="s">
        <v>26</v>
      </c>
      <c r="C136" t="s">
        <v>14</v>
      </c>
      <c r="D136" t="s">
        <v>20</v>
      </c>
      <c r="E136" t="s">
        <v>16</v>
      </c>
      <c r="F136" t="s">
        <v>17</v>
      </c>
      <c r="G136">
        <v>70</v>
      </c>
      <c r="H136">
        <v>52</v>
      </c>
      <c r="I136">
        <v>47</v>
      </c>
      <c r="J136">
        <v>55</v>
      </c>
      <c r="K136">
        <v>57</v>
      </c>
      <c r="L136">
        <v>56.2</v>
      </c>
      <c r="M136" t="s">
        <v>27</v>
      </c>
    </row>
    <row r="137" spans="1:13" x14ac:dyDescent="0.25">
      <c r="A137">
        <v>136</v>
      </c>
      <c r="B137" t="s">
        <v>19</v>
      </c>
      <c r="C137" t="s">
        <v>14</v>
      </c>
      <c r="D137" t="s">
        <v>33</v>
      </c>
      <c r="E137" t="s">
        <v>31</v>
      </c>
      <c r="F137" t="s">
        <v>25</v>
      </c>
      <c r="G137">
        <v>55</v>
      </c>
      <c r="H137">
        <v>64</v>
      </c>
      <c r="I137">
        <v>33</v>
      </c>
      <c r="J137">
        <v>69</v>
      </c>
      <c r="K137">
        <v>63</v>
      </c>
      <c r="L137">
        <v>56.8</v>
      </c>
      <c r="M137" t="s">
        <v>27</v>
      </c>
    </row>
    <row r="138" spans="1:13" x14ac:dyDescent="0.25">
      <c r="A138">
        <v>137</v>
      </c>
      <c r="B138" t="s">
        <v>26</v>
      </c>
      <c r="C138" t="s">
        <v>24</v>
      </c>
      <c r="D138" t="s">
        <v>33</v>
      </c>
      <c r="E138" t="s">
        <v>16</v>
      </c>
      <c r="F138" t="s">
        <v>17</v>
      </c>
      <c r="G138">
        <v>43</v>
      </c>
      <c r="H138">
        <v>55</v>
      </c>
      <c r="I138">
        <v>45</v>
      </c>
      <c r="J138">
        <v>57</v>
      </c>
      <c r="K138">
        <v>55</v>
      </c>
      <c r="L138">
        <v>51</v>
      </c>
      <c r="M138" t="s">
        <v>27</v>
      </c>
    </row>
    <row r="139" spans="1:13" x14ac:dyDescent="0.25">
      <c r="A139">
        <v>138</v>
      </c>
      <c r="B139" t="s">
        <v>19</v>
      </c>
      <c r="C139" t="s">
        <v>14</v>
      </c>
      <c r="D139" t="s">
        <v>30</v>
      </c>
      <c r="E139" t="s">
        <v>16</v>
      </c>
      <c r="F139" t="s">
        <v>25</v>
      </c>
      <c r="G139">
        <v>85</v>
      </c>
      <c r="H139">
        <v>72</v>
      </c>
      <c r="I139">
        <v>56</v>
      </c>
      <c r="J139">
        <v>77</v>
      </c>
      <c r="K139">
        <v>68</v>
      </c>
      <c r="L139">
        <v>71.599999999999994</v>
      </c>
      <c r="M139" t="s">
        <v>22</v>
      </c>
    </row>
    <row r="140" spans="1:13" x14ac:dyDescent="0.25">
      <c r="A140">
        <v>139</v>
      </c>
      <c r="B140" t="s">
        <v>13</v>
      </c>
      <c r="C140" t="s">
        <v>24</v>
      </c>
      <c r="D140" t="s">
        <v>32</v>
      </c>
      <c r="E140" t="s">
        <v>31</v>
      </c>
      <c r="F140" t="s">
        <v>21</v>
      </c>
      <c r="G140">
        <v>97</v>
      </c>
      <c r="H140">
        <v>100</v>
      </c>
      <c r="I140">
        <v>100</v>
      </c>
      <c r="J140">
        <v>99</v>
      </c>
      <c r="K140">
        <v>80</v>
      </c>
      <c r="L140">
        <v>95.2</v>
      </c>
      <c r="M140" t="s">
        <v>18</v>
      </c>
    </row>
    <row r="141" spans="1:13" x14ac:dyDescent="0.25">
      <c r="A141">
        <v>140</v>
      </c>
      <c r="B141" t="s">
        <v>19</v>
      </c>
      <c r="C141" t="s">
        <v>14</v>
      </c>
      <c r="D141" t="s">
        <v>33</v>
      </c>
      <c r="E141" t="s">
        <v>16</v>
      </c>
      <c r="F141" t="s">
        <v>21</v>
      </c>
      <c r="G141">
        <v>49</v>
      </c>
      <c r="H141">
        <v>48</v>
      </c>
      <c r="I141">
        <v>47</v>
      </c>
      <c r="J141">
        <v>67</v>
      </c>
      <c r="K141">
        <v>47</v>
      </c>
      <c r="L141">
        <v>51.6</v>
      </c>
      <c r="M141" t="s">
        <v>27</v>
      </c>
    </row>
    <row r="142" spans="1:13" x14ac:dyDescent="0.25">
      <c r="A142">
        <v>141</v>
      </c>
      <c r="B142" t="s">
        <v>26</v>
      </c>
      <c r="C142" t="s">
        <v>29</v>
      </c>
      <c r="D142" t="s">
        <v>20</v>
      </c>
      <c r="E142" t="s">
        <v>31</v>
      </c>
      <c r="F142" t="s">
        <v>25</v>
      </c>
      <c r="G142">
        <v>52</v>
      </c>
      <c r="H142">
        <v>51</v>
      </c>
      <c r="I142">
        <v>57</v>
      </c>
      <c r="J142">
        <v>59</v>
      </c>
      <c r="K142">
        <v>74</v>
      </c>
      <c r="L142">
        <v>58.6</v>
      </c>
      <c r="M142" t="s">
        <v>27</v>
      </c>
    </row>
    <row r="143" spans="1:13" x14ac:dyDescent="0.25">
      <c r="A143">
        <v>142</v>
      </c>
      <c r="B143" t="s">
        <v>23</v>
      </c>
      <c r="C143" t="s">
        <v>14</v>
      </c>
      <c r="D143" t="s">
        <v>30</v>
      </c>
      <c r="E143" t="s">
        <v>16</v>
      </c>
      <c r="F143" t="s">
        <v>17</v>
      </c>
      <c r="G143">
        <v>77</v>
      </c>
      <c r="H143">
        <v>55</v>
      </c>
      <c r="I143">
        <v>50</v>
      </c>
      <c r="J143">
        <v>83</v>
      </c>
      <c r="K143">
        <v>79</v>
      </c>
      <c r="L143">
        <v>68.8</v>
      </c>
      <c r="M143" t="s">
        <v>22</v>
      </c>
    </row>
    <row r="144" spans="1:13" x14ac:dyDescent="0.25">
      <c r="A144">
        <v>143</v>
      </c>
      <c r="B144" t="s">
        <v>28</v>
      </c>
      <c r="C144" t="s">
        <v>24</v>
      </c>
      <c r="D144" t="s">
        <v>20</v>
      </c>
      <c r="E144" t="s">
        <v>16</v>
      </c>
      <c r="F144" t="s">
        <v>21</v>
      </c>
      <c r="G144">
        <v>64</v>
      </c>
      <c r="H144">
        <v>62</v>
      </c>
      <c r="I144">
        <v>64</v>
      </c>
      <c r="J144">
        <v>70</v>
      </c>
      <c r="K144">
        <v>74</v>
      </c>
      <c r="L144">
        <v>66.8</v>
      </c>
      <c r="M144" t="s">
        <v>22</v>
      </c>
    </row>
    <row r="145" spans="1:13" x14ac:dyDescent="0.25">
      <c r="A145">
        <v>144</v>
      </c>
      <c r="B145" t="s">
        <v>13</v>
      </c>
      <c r="C145" t="s">
        <v>24</v>
      </c>
      <c r="D145" t="s">
        <v>33</v>
      </c>
      <c r="E145" t="s">
        <v>16</v>
      </c>
      <c r="F145" t="s">
        <v>21</v>
      </c>
      <c r="G145">
        <v>59</v>
      </c>
      <c r="H145">
        <v>61</v>
      </c>
      <c r="I145">
        <v>64</v>
      </c>
      <c r="J145">
        <v>48</v>
      </c>
      <c r="K145">
        <v>62</v>
      </c>
      <c r="L145">
        <v>58.8</v>
      </c>
      <c r="M145" t="s">
        <v>27</v>
      </c>
    </row>
    <row r="146" spans="1:13" x14ac:dyDescent="0.25">
      <c r="A146">
        <v>145</v>
      </c>
      <c r="B146" t="s">
        <v>28</v>
      </c>
      <c r="C146" t="s">
        <v>29</v>
      </c>
      <c r="D146" t="s">
        <v>30</v>
      </c>
      <c r="E146" t="s">
        <v>31</v>
      </c>
      <c r="F146" t="s">
        <v>25</v>
      </c>
      <c r="G146">
        <v>83</v>
      </c>
      <c r="H146">
        <v>70</v>
      </c>
      <c r="I146">
        <v>77</v>
      </c>
      <c r="J146">
        <v>60</v>
      </c>
      <c r="K146">
        <v>88</v>
      </c>
      <c r="L146">
        <v>75.599999999999994</v>
      </c>
      <c r="M146" t="s">
        <v>22</v>
      </c>
    </row>
    <row r="147" spans="1:13" x14ac:dyDescent="0.25">
      <c r="A147">
        <v>146</v>
      </c>
      <c r="B147" t="s">
        <v>13</v>
      </c>
      <c r="C147" t="s">
        <v>29</v>
      </c>
      <c r="D147" t="s">
        <v>15</v>
      </c>
      <c r="E147" t="s">
        <v>31</v>
      </c>
      <c r="F147" t="s">
        <v>21</v>
      </c>
      <c r="G147">
        <v>97</v>
      </c>
      <c r="H147">
        <v>89</v>
      </c>
      <c r="I147">
        <v>85</v>
      </c>
      <c r="J147">
        <v>90</v>
      </c>
      <c r="K147">
        <v>78</v>
      </c>
      <c r="L147">
        <v>87.8</v>
      </c>
      <c r="M147" t="s">
        <v>18</v>
      </c>
    </row>
    <row r="148" spans="1:13" x14ac:dyDescent="0.25">
      <c r="A148">
        <v>147</v>
      </c>
      <c r="B148" t="s">
        <v>26</v>
      </c>
      <c r="C148" t="s">
        <v>14</v>
      </c>
      <c r="D148" t="s">
        <v>15</v>
      </c>
      <c r="E148" t="s">
        <v>31</v>
      </c>
      <c r="F148" t="s">
        <v>21</v>
      </c>
      <c r="G148">
        <v>81</v>
      </c>
      <c r="H148">
        <v>73</v>
      </c>
      <c r="I148">
        <v>87</v>
      </c>
      <c r="J148">
        <v>100</v>
      </c>
      <c r="K148">
        <v>90</v>
      </c>
      <c r="L148">
        <v>86.2</v>
      </c>
      <c r="M148" t="s">
        <v>18</v>
      </c>
    </row>
    <row r="149" spans="1:13" x14ac:dyDescent="0.25">
      <c r="A149">
        <v>148</v>
      </c>
      <c r="B149" t="s">
        <v>13</v>
      </c>
      <c r="C149" t="s">
        <v>29</v>
      </c>
      <c r="D149" t="s">
        <v>30</v>
      </c>
      <c r="E149" t="s">
        <v>31</v>
      </c>
      <c r="F149" t="s">
        <v>17</v>
      </c>
      <c r="G149">
        <v>67</v>
      </c>
      <c r="H149">
        <v>62</v>
      </c>
      <c r="I149">
        <v>55</v>
      </c>
      <c r="J149">
        <v>70</v>
      </c>
      <c r="K149">
        <v>56</v>
      </c>
      <c r="L149">
        <v>62</v>
      </c>
      <c r="M149" t="s">
        <v>22</v>
      </c>
    </row>
    <row r="150" spans="1:13" x14ac:dyDescent="0.25">
      <c r="A150">
        <v>149</v>
      </c>
      <c r="B150" t="s">
        <v>19</v>
      </c>
      <c r="C150" t="s">
        <v>29</v>
      </c>
      <c r="D150" t="s">
        <v>33</v>
      </c>
      <c r="E150" t="s">
        <v>16</v>
      </c>
      <c r="F150" t="s">
        <v>25</v>
      </c>
      <c r="G150">
        <v>61</v>
      </c>
      <c r="H150">
        <v>53</v>
      </c>
      <c r="I150">
        <v>61</v>
      </c>
      <c r="J150">
        <v>50</v>
      </c>
      <c r="K150">
        <v>53</v>
      </c>
      <c r="L150">
        <v>55.6</v>
      </c>
      <c r="M150" t="s">
        <v>27</v>
      </c>
    </row>
    <row r="151" spans="1:13" x14ac:dyDescent="0.25">
      <c r="A151">
        <v>150</v>
      </c>
      <c r="B151" t="s">
        <v>28</v>
      </c>
      <c r="C151" t="s">
        <v>24</v>
      </c>
      <c r="D151" t="s">
        <v>30</v>
      </c>
      <c r="E151" t="s">
        <v>16</v>
      </c>
      <c r="F151" t="s">
        <v>17</v>
      </c>
      <c r="G151">
        <v>65</v>
      </c>
      <c r="H151">
        <v>59</v>
      </c>
      <c r="I151">
        <v>71</v>
      </c>
      <c r="J151">
        <v>71</v>
      </c>
      <c r="K151">
        <v>59</v>
      </c>
      <c r="L151">
        <v>65</v>
      </c>
      <c r="M151" t="s">
        <v>22</v>
      </c>
    </row>
    <row r="152" spans="1:13" x14ac:dyDescent="0.25">
      <c r="A152">
        <v>151</v>
      </c>
      <c r="B152" t="s">
        <v>26</v>
      </c>
      <c r="C152" t="s">
        <v>14</v>
      </c>
      <c r="D152" t="s">
        <v>33</v>
      </c>
      <c r="E152" t="s">
        <v>31</v>
      </c>
      <c r="F152" t="s">
        <v>25</v>
      </c>
      <c r="G152">
        <v>56</v>
      </c>
      <c r="H152">
        <v>58</v>
      </c>
      <c r="I152">
        <v>48</v>
      </c>
      <c r="J152">
        <v>39</v>
      </c>
      <c r="K152">
        <v>66</v>
      </c>
      <c r="L152">
        <v>53.4</v>
      </c>
      <c r="M152" t="s">
        <v>27</v>
      </c>
    </row>
    <row r="153" spans="1:13" x14ac:dyDescent="0.25">
      <c r="A153">
        <v>152</v>
      </c>
      <c r="B153" t="s">
        <v>19</v>
      </c>
      <c r="C153" t="s">
        <v>14</v>
      </c>
      <c r="D153" t="s">
        <v>32</v>
      </c>
      <c r="E153" t="s">
        <v>31</v>
      </c>
      <c r="F153" t="s">
        <v>25</v>
      </c>
      <c r="G153">
        <v>73</v>
      </c>
      <c r="H153">
        <v>70</v>
      </c>
      <c r="I153">
        <v>72</v>
      </c>
      <c r="J153">
        <v>84</v>
      </c>
      <c r="K153">
        <v>75</v>
      </c>
      <c r="L153">
        <v>74.8</v>
      </c>
      <c r="M153" t="s">
        <v>22</v>
      </c>
    </row>
    <row r="154" spans="1:13" x14ac:dyDescent="0.25">
      <c r="A154">
        <v>153</v>
      </c>
      <c r="B154" t="s">
        <v>23</v>
      </c>
      <c r="C154" t="s">
        <v>29</v>
      </c>
      <c r="D154" t="s">
        <v>32</v>
      </c>
      <c r="E154" t="s">
        <v>16</v>
      </c>
      <c r="F154" t="s">
        <v>25</v>
      </c>
      <c r="G154">
        <v>77</v>
      </c>
      <c r="H154">
        <v>71</v>
      </c>
      <c r="I154">
        <v>67</v>
      </c>
      <c r="J154">
        <v>89</v>
      </c>
      <c r="K154">
        <v>85</v>
      </c>
      <c r="L154">
        <v>77.8</v>
      </c>
      <c r="M154" t="s">
        <v>22</v>
      </c>
    </row>
    <row r="155" spans="1:13" x14ac:dyDescent="0.25">
      <c r="A155">
        <v>154</v>
      </c>
      <c r="B155" t="s">
        <v>26</v>
      </c>
      <c r="C155" t="s">
        <v>24</v>
      </c>
      <c r="D155" t="s">
        <v>33</v>
      </c>
      <c r="E155" t="s">
        <v>16</v>
      </c>
      <c r="F155" t="s">
        <v>17</v>
      </c>
      <c r="G155">
        <v>38</v>
      </c>
      <c r="H155">
        <v>52</v>
      </c>
      <c r="I155">
        <v>47</v>
      </c>
      <c r="J155">
        <v>40</v>
      </c>
      <c r="K155">
        <v>51</v>
      </c>
      <c r="L155">
        <v>45.6</v>
      </c>
      <c r="M155" t="s">
        <v>27</v>
      </c>
    </row>
    <row r="156" spans="1:13" x14ac:dyDescent="0.25">
      <c r="A156">
        <v>155</v>
      </c>
      <c r="B156" t="s">
        <v>19</v>
      </c>
      <c r="C156" t="s">
        <v>14</v>
      </c>
      <c r="D156" t="s">
        <v>30</v>
      </c>
      <c r="E156" t="s">
        <v>31</v>
      </c>
      <c r="F156" t="s">
        <v>17</v>
      </c>
      <c r="G156">
        <v>72</v>
      </c>
      <c r="H156">
        <v>64</v>
      </c>
      <c r="I156">
        <v>76</v>
      </c>
      <c r="J156">
        <v>68</v>
      </c>
      <c r="K156">
        <v>49</v>
      </c>
      <c r="L156">
        <v>65.8</v>
      </c>
      <c r="M156" t="s">
        <v>22</v>
      </c>
    </row>
    <row r="157" spans="1:13" x14ac:dyDescent="0.25">
      <c r="A157">
        <v>156</v>
      </c>
      <c r="B157" t="s">
        <v>28</v>
      </c>
      <c r="C157" t="s">
        <v>29</v>
      </c>
      <c r="D157" t="s">
        <v>15</v>
      </c>
      <c r="E157" t="s">
        <v>16</v>
      </c>
      <c r="F157" t="s">
        <v>25</v>
      </c>
      <c r="G157">
        <v>97</v>
      </c>
      <c r="H157">
        <v>99</v>
      </c>
      <c r="I157">
        <v>91</v>
      </c>
      <c r="J157">
        <v>90</v>
      </c>
      <c r="K157">
        <v>100</v>
      </c>
      <c r="L157">
        <v>95.4</v>
      </c>
      <c r="M157" t="s">
        <v>18</v>
      </c>
    </row>
    <row r="158" spans="1:13" x14ac:dyDescent="0.25">
      <c r="A158">
        <v>157</v>
      </c>
      <c r="B158" t="s">
        <v>19</v>
      </c>
      <c r="C158" t="s">
        <v>24</v>
      </c>
      <c r="D158" t="s">
        <v>30</v>
      </c>
      <c r="E158" t="s">
        <v>31</v>
      </c>
      <c r="F158" t="s">
        <v>17</v>
      </c>
      <c r="G158">
        <v>79</v>
      </c>
      <c r="H158">
        <v>59</v>
      </c>
      <c r="I158">
        <v>73</v>
      </c>
      <c r="J158">
        <v>66</v>
      </c>
      <c r="K158">
        <v>67</v>
      </c>
      <c r="L158">
        <v>68.8</v>
      </c>
      <c r="M158" t="s">
        <v>22</v>
      </c>
    </row>
    <row r="159" spans="1:13" x14ac:dyDescent="0.25">
      <c r="A159">
        <v>158</v>
      </c>
      <c r="B159" t="s">
        <v>13</v>
      </c>
      <c r="C159" t="s">
        <v>24</v>
      </c>
      <c r="D159" t="s">
        <v>20</v>
      </c>
      <c r="E159" t="s">
        <v>31</v>
      </c>
      <c r="F159" t="s">
        <v>21</v>
      </c>
      <c r="G159">
        <v>88</v>
      </c>
      <c r="H159">
        <v>74</v>
      </c>
      <c r="I159">
        <v>70</v>
      </c>
      <c r="J159">
        <v>69</v>
      </c>
      <c r="K159">
        <v>88</v>
      </c>
      <c r="L159">
        <v>77.8</v>
      </c>
      <c r="M159" t="s">
        <v>22</v>
      </c>
    </row>
    <row r="160" spans="1:13" x14ac:dyDescent="0.25">
      <c r="A160">
        <v>159</v>
      </c>
      <c r="B160" t="s">
        <v>23</v>
      </c>
      <c r="C160" t="s">
        <v>24</v>
      </c>
      <c r="D160" t="s">
        <v>15</v>
      </c>
      <c r="E160" t="s">
        <v>16</v>
      </c>
      <c r="F160" t="s">
        <v>25</v>
      </c>
      <c r="G160">
        <v>88</v>
      </c>
      <c r="H160">
        <v>93</v>
      </c>
      <c r="I160">
        <v>89</v>
      </c>
      <c r="J160">
        <v>100</v>
      </c>
      <c r="K160">
        <v>85</v>
      </c>
      <c r="L160">
        <v>91</v>
      </c>
      <c r="M160" t="s">
        <v>18</v>
      </c>
    </row>
    <row r="161" spans="1:13" x14ac:dyDescent="0.25">
      <c r="A161">
        <v>160</v>
      </c>
      <c r="B161" t="s">
        <v>19</v>
      </c>
      <c r="C161" t="s">
        <v>24</v>
      </c>
      <c r="D161" t="s">
        <v>33</v>
      </c>
      <c r="E161" t="s">
        <v>31</v>
      </c>
      <c r="F161" t="s">
        <v>21</v>
      </c>
      <c r="G161">
        <v>55</v>
      </c>
      <c r="H161">
        <v>58</v>
      </c>
      <c r="I161">
        <v>63</v>
      </c>
      <c r="J161">
        <v>45</v>
      </c>
      <c r="K161">
        <v>63</v>
      </c>
      <c r="L161">
        <v>56.8</v>
      </c>
      <c r="M161" t="s">
        <v>27</v>
      </c>
    </row>
    <row r="162" spans="1:13" x14ac:dyDescent="0.25">
      <c r="A162">
        <v>161</v>
      </c>
      <c r="B162" t="s">
        <v>13</v>
      </c>
      <c r="C162" t="s">
        <v>24</v>
      </c>
      <c r="D162" t="s">
        <v>32</v>
      </c>
      <c r="E162" t="s">
        <v>16</v>
      </c>
      <c r="F162" t="s">
        <v>21</v>
      </c>
      <c r="G162">
        <v>82</v>
      </c>
      <c r="H162">
        <v>77</v>
      </c>
      <c r="I162">
        <v>72</v>
      </c>
      <c r="J162">
        <v>100</v>
      </c>
      <c r="K162">
        <v>71</v>
      </c>
      <c r="L162">
        <v>80.400000000000006</v>
      </c>
      <c r="M162" t="s">
        <v>18</v>
      </c>
    </row>
    <row r="163" spans="1:13" x14ac:dyDescent="0.25">
      <c r="A163">
        <v>162</v>
      </c>
      <c r="B163" t="s">
        <v>28</v>
      </c>
      <c r="C163" t="s">
        <v>29</v>
      </c>
      <c r="D163" t="s">
        <v>20</v>
      </c>
      <c r="E163" t="s">
        <v>31</v>
      </c>
      <c r="F163" t="s">
        <v>25</v>
      </c>
      <c r="G163">
        <v>60</v>
      </c>
      <c r="H163">
        <v>74</v>
      </c>
      <c r="I163">
        <v>67</v>
      </c>
      <c r="J163">
        <v>53</v>
      </c>
      <c r="K163">
        <v>76</v>
      </c>
      <c r="L163">
        <v>66</v>
      </c>
      <c r="M163" t="s">
        <v>22</v>
      </c>
    </row>
    <row r="164" spans="1:13" x14ac:dyDescent="0.25">
      <c r="A164">
        <v>163</v>
      </c>
      <c r="B164" t="s">
        <v>28</v>
      </c>
      <c r="C164" t="s">
        <v>24</v>
      </c>
      <c r="D164" t="s">
        <v>32</v>
      </c>
      <c r="E164" t="s">
        <v>16</v>
      </c>
      <c r="F164" t="s">
        <v>21</v>
      </c>
      <c r="G164">
        <v>85</v>
      </c>
      <c r="H164">
        <v>84</v>
      </c>
      <c r="I164">
        <v>73</v>
      </c>
      <c r="J164">
        <v>79</v>
      </c>
      <c r="K164">
        <v>94</v>
      </c>
      <c r="L164">
        <v>83</v>
      </c>
      <c r="M164" t="s">
        <v>18</v>
      </c>
    </row>
    <row r="165" spans="1:13" x14ac:dyDescent="0.25">
      <c r="A165">
        <v>164</v>
      </c>
      <c r="B165" t="s">
        <v>23</v>
      </c>
      <c r="C165" t="s">
        <v>29</v>
      </c>
      <c r="D165" t="s">
        <v>20</v>
      </c>
      <c r="E165" t="s">
        <v>31</v>
      </c>
      <c r="F165" t="s">
        <v>21</v>
      </c>
      <c r="G165">
        <v>76</v>
      </c>
      <c r="H165">
        <v>63</v>
      </c>
      <c r="I165">
        <v>70</v>
      </c>
      <c r="J165">
        <v>80</v>
      </c>
      <c r="K165">
        <v>81</v>
      </c>
      <c r="L165">
        <v>74</v>
      </c>
      <c r="M165" t="s">
        <v>22</v>
      </c>
    </row>
    <row r="166" spans="1:13" x14ac:dyDescent="0.25">
      <c r="A166">
        <v>165</v>
      </c>
      <c r="B166" t="s">
        <v>23</v>
      </c>
      <c r="C166" t="s">
        <v>14</v>
      </c>
      <c r="D166" t="s">
        <v>32</v>
      </c>
      <c r="E166" t="s">
        <v>16</v>
      </c>
      <c r="F166" t="s">
        <v>17</v>
      </c>
      <c r="G166">
        <v>85</v>
      </c>
      <c r="H166">
        <v>59</v>
      </c>
      <c r="I166">
        <v>76</v>
      </c>
      <c r="J166">
        <v>87</v>
      </c>
      <c r="K166">
        <v>65</v>
      </c>
      <c r="L166">
        <v>74.400000000000006</v>
      </c>
      <c r="M166" t="s">
        <v>22</v>
      </c>
    </row>
    <row r="167" spans="1:13" x14ac:dyDescent="0.25">
      <c r="A167">
        <v>166</v>
      </c>
      <c r="B167" t="s">
        <v>26</v>
      </c>
      <c r="C167" t="s">
        <v>14</v>
      </c>
      <c r="D167" t="s">
        <v>32</v>
      </c>
      <c r="E167" t="s">
        <v>31</v>
      </c>
      <c r="F167" t="s">
        <v>25</v>
      </c>
      <c r="G167">
        <v>93</v>
      </c>
      <c r="H167">
        <v>72</v>
      </c>
      <c r="I167">
        <v>96</v>
      </c>
      <c r="J167">
        <v>88</v>
      </c>
      <c r="K167">
        <v>76</v>
      </c>
      <c r="L167">
        <v>85</v>
      </c>
      <c r="M167" t="s">
        <v>18</v>
      </c>
    </row>
    <row r="168" spans="1:13" x14ac:dyDescent="0.25">
      <c r="A168">
        <v>167</v>
      </c>
      <c r="B168" t="s">
        <v>13</v>
      </c>
      <c r="C168" t="s">
        <v>14</v>
      </c>
      <c r="D168" t="s">
        <v>20</v>
      </c>
      <c r="E168" t="s">
        <v>16</v>
      </c>
      <c r="F168" t="s">
        <v>21</v>
      </c>
      <c r="G168">
        <v>46</v>
      </c>
      <c r="H168">
        <v>79</v>
      </c>
      <c r="I168">
        <v>66</v>
      </c>
      <c r="J168">
        <v>75</v>
      </c>
      <c r="K168">
        <v>66</v>
      </c>
      <c r="L168">
        <v>66.400000000000006</v>
      </c>
      <c r="M168" t="s">
        <v>22</v>
      </c>
    </row>
    <row r="169" spans="1:13" x14ac:dyDescent="0.25">
      <c r="A169">
        <v>168</v>
      </c>
      <c r="B169" t="s">
        <v>26</v>
      </c>
      <c r="C169" t="s">
        <v>29</v>
      </c>
      <c r="D169" t="s">
        <v>20</v>
      </c>
      <c r="E169" t="s">
        <v>31</v>
      </c>
      <c r="F169" t="s">
        <v>17</v>
      </c>
      <c r="G169">
        <v>53</v>
      </c>
      <c r="H169">
        <v>32</v>
      </c>
      <c r="I169">
        <v>75</v>
      </c>
      <c r="J169">
        <v>65</v>
      </c>
      <c r="K169">
        <v>69</v>
      </c>
      <c r="L169">
        <v>58.8</v>
      </c>
      <c r="M169" t="s">
        <v>27</v>
      </c>
    </row>
    <row r="170" spans="1:13" x14ac:dyDescent="0.25">
      <c r="A170">
        <v>169</v>
      </c>
      <c r="B170" t="s">
        <v>28</v>
      </c>
      <c r="C170" t="s">
        <v>24</v>
      </c>
      <c r="D170" t="s">
        <v>30</v>
      </c>
      <c r="E170" t="s">
        <v>31</v>
      </c>
      <c r="F170" t="s">
        <v>25</v>
      </c>
      <c r="G170">
        <v>60</v>
      </c>
      <c r="H170">
        <v>80</v>
      </c>
      <c r="I170">
        <v>80</v>
      </c>
      <c r="J170">
        <v>84</v>
      </c>
      <c r="K170">
        <v>59</v>
      </c>
      <c r="L170">
        <v>72.599999999999994</v>
      </c>
      <c r="M170" t="s">
        <v>22</v>
      </c>
    </row>
    <row r="171" spans="1:13" x14ac:dyDescent="0.25">
      <c r="A171">
        <v>170</v>
      </c>
      <c r="B171" t="s">
        <v>28</v>
      </c>
      <c r="C171" t="s">
        <v>24</v>
      </c>
      <c r="D171" t="s">
        <v>30</v>
      </c>
      <c r="E171" t="s">
        <v>16</v>
      </c>
      <c r="F171" t="s">
        <v>21</v>
      </c>
      <c r="G171">
        <v>85</v>
      </c>
      <c r="H171">
        <v>100</v>
      </c>
      <c r="I171">
        <v>76</v>
      </c>
      <c r="J171">
        <v>92</v>
      </c>
      <c r="K171">
        <v>86</v>
      </c>
      <c r="L171">
        <v>87.8</v>
      </c>
      <c r="M171" t="s">
        <v>18</v>
      </c>
    </row>
    <row r="172" spans="1:13" x14ac:dyDescent="0.25">
      <c r="A172">
        <v>171</v>
      </c>
      <c r="B172" t="s">
        <v>28</v>
      </c>
      <c r="C172" t="s">
        <v>14</v>
      </c>
      <c r="D172" t="s">
        <v>15</v>
      </c>
      <c r="E172" t="s">
        <v>16</v>
      </c>
      <c r="F172" t="s">
        <v>17</v>
      </c>
      <c r="G172">
        <v>93</v>
      </c>
      <c r="H172">
        <v>72</v>
      </c>
      <c r="I172">
        <v>80</v>
      </c>
      <c r="J172">
        <v>86</v>
      </c>
      <c r="K172">
        <v>86</v>
      </c>
      <c r="L172">
        <v>83.4</v>
      </c>
      <c r="M172" t="s">
        <v>18</v>
      </c>
    </row>
    <row r="173" spans="1:13" x14ac:dyDescent="0.25">
      <c r="A173">
        <v>172</v>
      </c>
      <c r="B173" t="s">
        <v>13</v>
      </c>
      <c r="C173" t="s">
        <v>29</v>
      </c>
      <c r="D173" t="s">
        <v>33</v>
      </c>
      <c r="E173" t="s">
        <v>31</v>
      </c>
      <c r="F173" t="s">
        <v>17</v>
      </c>
      <c r="G173">
        <v>64</v>
      </c>
      <c r="H173">
        <v>39</v>
      </c>
      <c r="I173">
        <v>27</v>
      </c>
      <c r="J173">
        <v>38</v>
      </c>
      <c r="K173">
        <v>62</v>
      </c>
      <c r="L173">
        <v>46</v>
      </c>
      <c r="M173" t="s">
        <v>27</v>
      </c>
    </row>
    <row r="174" spans="1:13" x14ac:dyDescent="0.25">
      <c r="A174">
        <v>173</v>
      </c>
      <c r="B174" t="s">
        <v>13</v>
      </c>
      <c r="C174" t="s">
        <v>29</v>
      </c>
      <c r="D174" t="s">
        <v>20</v>
      </c>
      <c r="E174" t="s">
        <v>31</v>
      </c>
      <c r="F174" t="s">
        <v>25</v>
      </c>
      <c r="G174">
        <v>60</v>
      </c>
      <c r="H174">
        <v>58</v>
      </c>
      <c r="I174">
        <v>77</v>
      </c>
      <c r="J174">
        <v>75</v>
      </c>
      <c r="K174">
        <v>55</v>
      </c>
      <c r="L174">
        <v>65</v>
      </c>
      <c r="M174" t="s">
        <v>22</v>
      </c>
    </row>
    <row r="175" spans="1:13" x14ac:dyDescent="0.25">
      <c r="A175">
        <v>174</v>
      </c>
      <c r="B175" t="s">
        <v>23</v>
      </c>
      <c r="C175" t="s">
        <v>29</v>
      </c>
      <c r="D175" t="s">
        <v>30</v>
      </c>
      <c r="E175" t="s">
        <v>16</v>
      </c>
      <c r="F175" t="s">
        <v>21</v>
      </c>
      <c r="G175">
        <v>80</v>
      </c>
      <c r="H175">
        <v>48</v>
      </c>
      <c r="I175">
        <v>91</v>
      </c>
      <c r="J175">
        <v>75</v>
      </c>
      <c r="K175">
        <v>100</v>
      </c>
      <c r="L175">
        <v>78.8</v>
      </c>
      <c r="M175" t="s">
        <v>22</v>
      </c>
    </row>
    <row r="176" spans="1:13" x14ac:dyDescent="0.25">
      <c r="A176">
        <v>175</v>
      </c>
      <c r="B176" t="s">
        <v>28</v>
      </c>
      <c r="C176" t="s">
        <v>24</v>
      </c>
      <c r="D176" t="s">
        <v>32</v>
      </c>
      <c r="E176" t="s">
        <v>31</v>
      </c>
      <c r="F176" t="s">
        <v>17</v>
      </c>
      <c r="G176">
        <v>59</v>
      </c>
      <c r="H176">
        <v>86</v>
      </c>
      <c r="I176">
        <v>75</v>
      </c>
      <c r="J176">
        <v>81</v>
      </c>
      <c r="K176">
        <v>71</v>
      </c>
      <c r="L176">
        <v>74.400000000000006</v>
      </c>
      <c r="M176" t="s">
        <v>22</v>
      </c>
    </row>
    <row r="177" spans="1:13" x14ac:dyDescent="0.25">
      <c r="A177">
        <v>176</v>
      </c>
      <c r="B177" t="s">
        <v>19</v>
      </c>
      <c r="C177" t="s">
        <v>14</v>
      </c>
      <c r="D177" t="s">
        <v>15</v>
      </c>
      <c r="E177" t="s">
        <v>16</v>
      </c>
      <c r="F177" t="s">
        <v>21</v>
      </c>
      <c r="G177">
        <v>75</v>
      </c>
      <c r="H177">
        <v>72</v>
      </c>
      <c r="I177">
        <v>87</v>
      </c>
      <c r="J177">
        <v>100</v>
      </c>
      <c r="K177">
        <v>80</v>
      </c>
      <c r="L177">
        <v>82.8</v>
      </c>
      <c r="M177" t="s">
        <v>18</v>
      </c>
    </row>
    <row r="178" spans="1:13" x14ac:dyDescent="0.25">
      <c r="A178">
        <v>177</v>
      </c>
      <c r="B178" t="s">
        <v>13</v>
      </c>
      <c r="C178" t="s">
        <v>29</v>
      </c>
      <c r="D178" t="s">
        <v>15</v>
      </c>
      <c r="E178" t="s">
        <v>16</v>
      </c>
      <c r="F178" t="s">
        <v>17</v>
      </c>
      <c r="G178">
        <v>86</v>
      </c>
      <c r="H178">
        <v>77</v>
      </c>
      <c r="I178">
        <v>75</v>
      </c>
      <c r="J178">
        <v>85</v>
      </c>
      <c r="K178">
        <v>74</v>
      </c>
      <c r="L178">
        <v>79.400000000000006</v>
      </c>
      <c r="M178" t="s">
        <v>22</v>
      </c>
    </row>
    <row r="179" spans="1:13" x14ac:dyDescent="0.25">
      <c r="A179">
        <v>178</v>
      </c>
      <c r="B179" t="s">
        <v>23</v>
      </c>
      <c r="C179" t="s">
        <v>24</v>
      </c>
      <c r="D179" t="s">
        <v>15</v>
      </c>
      <c r="E179" t="s">
        <v>16</v>
      </c>
      <c r="F179" t="s">
        <v>25</v>
      </c>
      <c r="G179">
        <v>83</v>
      </c>
      <c r="H179">
        <v>75</v>
      </c>
      <c r="I179">
        <v>97</v>
      </c>
      <c r="J179">
        <v>77</v>
      </c>
      <c r="K179">
        <v>89</v>
      </c>
      <c r="L179">
        <v>84.2</v>
      </c>
      <c r="M179" t="s">
        <v>18</v>
      </c>
    </row>
    <row r="180" spans="1:13" x14ac:dyDescent="0.25">
      <c r="A180">
        <v>179</v>
      </c>
      <c r="B180" t="s">
        <v>13</v>
      </c>
      <c r="C180" t="s">
        <v>29</v>
      </c>
      <c r="D180" t="s">
        <v>32</v>
      </c>
      <c r="E180" t="s">
        <v>16</v>
      </c>
      <c r="F180" t="s">
        <v>25</v>
      </c>
      <c r="G180">
        <v>76</v>
      </c>
      <c r="H180">
        <v>74</v>
      </c>
      <c r="I180">
        <v>79</v>
      </c>
      <c r="J180">
        <v>74</v>
      </c>
      <c r="K180">
        <v>95</v>
      </c>
      <c r="L180">
        <v>79.599999999999994</v>
      </c>
      <c r="M180" t="s">
        <v>22</v>
      </c>
    </row>
    <row r="181" spans="1:13" x14ac:dyDescent="0.25">
      <c r="A181">
        <v>180</v>
      </c>
      <c r="B181" t="s">
        <v>19</v>
      </c>
      <c r="C181" t="s">
        <v>29</v>
      </c>
      <c r="D181" t="s">
        <v>20</v>
      </c>
      <c r="E181" t="s">
        <v>31</v>
      </c>
      <c r="F181" t="s">
        <v>21</v>
      </c>
      <c r="G181">
        <v>57</v>
      </c>
      <c r="H181">
        <v>72</v>
      </c>
      <c r="I181">
        <v>68</v>
      </c>
      <c r="J181">
        <v>74</v>
      </c>
      <c r="K181">
        <v>74</v>
      </c>
      <c r="L181">
        <v>69</v>
      </c>
      <c r="M181" t="s">
        <v>22</v>
      </c>
    </row>
    <row r="182" spans="1:13" x14ac:dyDescent="0.25">
      <c r="A182">
        <v>181</v>
      </c>
      <c r="B182" t="s">
        <v>28</v>
      </c>
      <c r="C182" t="s">
        <v>29</v>
      </c>
      <c r="D182" t="s">
        <v>32</v>
      </c>
      <c r="E182" t="s">
        <v>31</v>
      </c>
      <c r="F182" t="s">
        <v>25</v>
      </c>
      <c r="G182">
        <v>94</v>
      </c>
      <c r="H182">
        <v>79</v>
      </c>
      <c r="I182">
        <v>82</v>
      </c>
      <c r="J182">
        <v>86</v>
      </c>
      <c r="K182">
        <v>91</v>
      </c>
      <c r="L182">
        <v>86.4</v>
      </c>
      <c r="M182" t="s">
        <v>18</v>
      </c>
    </row>
    <row r="183" spans="1:13" x14ac:dyDescent="0.25">
      <c r="A183">
        <v>182</v>
      </c>
      <c r="B183" t="s">
        <v>19</v>
      </c>
      <c r="C183" t="s">
        <v>24</v>
      </c>
      <c r="D183" t="s">
        <v>33</v>
      </c>
      <c r="E183" t="s">
        <v>31</v>
      </c>
      <c r="F183" t="s">
        <v>21</v>
      </c>
      <c r="G183">
        <v>81</v>
      </c>
      <c r="H183">
        <v>69</v>
      </c>
      <c r="I183">
        <v>65</v>
      </c>
      <c r="J183">
        <v>46</v>
      </c>
      <c r="K183">
        <v>50</v>
      </c>
      <c r="L183">
        <v>62.2</v>
      </c>
      <c r="M183" t="s">
        <v>22</v>
      </c>
    </row>
    <row r="184" spans="1:13" x14ac:dyDescent="0.25">
      <c r="A184">
        <v>183</v>
      </c>
      <c r="B184" t="s">
        <v>13</v>
      </c>
      <c r="C184" t="s">
        <v>14</v>
      </c>
      <c r="D184" t="s">
        <v>33</v>
      </c>
      <c r="E184" t="s">
        <v>16</v>
      </c>
      <c r="F184" t="s">
        <v>17</v>
      </c>
      <c r="G184">
        <v>51</v>
      </c>
      <c r="H184">
        <v>47</v>
      </c>
      <c r="I184">
        <v>63</v>
      </c>
      <c r="J184">
        <v>54</v>
      </c>
      <c r="K184">
        <v>37</v>
      </c>
      <c r="L184">
        <v>50.4</v>
      </c>
      <c r="M184" t="s">
        <v>27</v>
      </c>
    </row>
    <row r="185" spans="1:13" x14ac:dyDescent="0.25">
      <c r="A185">
        <v>184</v>
      </c>
      <c r="B185" t="s">
        <v>23</v>
      </c>
      <c r="C185" t="s">
        <v>14</v>
      </c>
      <c r="D185" t="s">
        <v>20</v>
      </c>
      <c r="E185" t="s">
        <v>31</v>
      </c>
      <c r="F185" t="s">
        <v>21</v>
      </c>
      <c r="G185">
        <v>63</v>
      </c>
      <c r="H185">
        <v>56</v>
      </c>
      <c r="I185">
        <v>65</v>
      </c>
      <c r="J185">
        <v>67</v>
      </c>
      <c r="K185">
        <v>77</v>
      </c>
      <c r="L185">
        <v>65.599999999999994</v>
      </c>
      <c r="M185" t="s">
        <v>22</v>
      </c>
    </row>
    <row r="186" spans="1:13" x14ac:dyDescent="0.25">
      <c r="A186">
        <v>185</v>
      </c>
      <c r="B186" t="s">
        <v>28</v>
      </c>
      <c r="C186" t="s">
        <v>24</v>
      </c>
      <c r="D186" t="s">
        <v>15</v>
      </c>
      <c r="E186" t="s">
        <v>31</v>
      </c>
      <c r="F186" t="s">
        <v>21</v>
      </c>
      <c r="G186">
        <v>100</v>
      </c>
      <c r="H186">
        <v>96</v>
      </c>
      <c r="I186">
        <v>86</v>
      </c>
      <c r="J186">
        <v>93</v>
      </c>
      <c r="K186">
        <v>86</v>
      </c>
      <c r="L186">
        <v>92.2</v>
      </c>
      <c r="M186" t="s">
        <v>18</v>
      </c>
    </row>
    <row r="187" spans="1:13" x14ac:dyDescent="0.25">
      <c r="A187">
        <v>186</v>
      </c>
      <c r="B187" t="s">
        <v>26</v>
      </c>
      <c r="C187" t="s">
        <v>14</v>
      </c>
      <c r="D187" t="s">
        <v>20</v>
      </c>
      <c r="E187" t="s">
        <v>31</v>
      </c>
      <c r="F187" t="s">
        <v>17</v>
      </c>
      <c r="G187">
        <v>56</v>
      </c>
      <c r="H187">
        <v>62</v>
      </c>
      <c r="I187">
        <v>49</v>
      </c>
      <c r="J187">
        <v>67</v>
      </c>
      <c r="K187">
        <v>66</v>
      </c>
      <c r="L187">
        <v>60</v>
      </c>
      <c r="M187" t="s">
        <v>22</v>
      </c>
    </row>
    <row r="188" spans="1:13" x14ac:dyDescent="0.25">
      <c r="A188">
        <v>187</v>
      </c>
      <c r="B188" t="s">
        <v>19</v>
      </c>
      <c r="C188" t="s">
        <v>14</v>
      </c>
      <c r="D188" t="s">
        <v>32</v>
      </c>
      <c r="E188" t="s">
        <v>31</v>
      </c>
      <c r="F188" t="s">
        <v>17</v>
      </c>
      <c r="G188">
        <v>86</v>
      </c>
      <c r="H188">
        <v>84</v>
      </c>
      <c r="I188">
        <v>69</v>
      </c>
      <c r="J188">
        <v>89</v>
      </c>
      <c r="K188">
        <v>80</v>
      </c>
      <c r="L188">
        <v>81.599999999999994</v>
      </c>
      <c r="M188" t="s">
        <v>18</v>
      </c>
    </row>
    <row r="189" spans="1:13" x14ac:dyDescent="0.25">
      <c r="A189">
        <v>188</v>
      </c>
      <c r="B189" t="s">
        <v>26</v>
      </c>
      <c r="C189" t="s">
        <v>29</v>
      </c>
      <c r="D189" t="s">
        <v>32</v>
      </c>
      <c r="E189" t="s">
        <v>31</v>
      </c>
      <c r="F189" t="s">
        <v>17</v>
      </c>
      <c r="G189">
        <v>100</v>
      </c>
      <c r="H189">
        <v>67</v>
      </c>
      <c r="I189">
        <v>80</v>
      </c>
      <c r="J189">
        <v>71</v>
      </c>
      <c r="K189">
        <v>80</v>
      </c>
      <c r="L189">
        <v>79.599999999999994</v>
      </c>
      <c r="M189" t="s">
        <v>22</v>
      </c>
    </row>
    <row r="190" spans="1:13" x14ac:dyDescent="0.25">
      <c r="A190">
        <v>189</v>
      </c>
      <c r="B190" t="s">
        <v>23</v>
      </c>
      <c r="C190" t="s">
        <v>14</v>
      </c>
      <c r="D190" t="s">
        <v>33</v>
      </c>
      <c r="E190" t="s">
        <v>16</v>
      </c>
      <c r="F190" t="s">
        <v>25</v>
      </c>
      <c r="G190">
        <v>59</v>
      </c>
      <c r="H190">
        <v>51</v>
      </c>
      <c r="I190">
        <v>51</v>
      </c>
      <c r="J190">
        <v>55</v>
      </c>
      <c r="K190">
        <v>32</v>
      </c>
      <c r="L190">
        <v>49.6</v>
      </c>
      <c r="M190" t="s">
        <v>27</v>
      </c>
    </row>
    <row r="191" spans="1:13" x14ac:dyDescent="0.25">
      <c r="A191">
        <v>190</v>
      </c>
      <c r="B191" t="s">
        <v>26</v>
      </c>
      <c r="C191" t="s">
        <v>14</v>
      </c>
      <c r="D191" t="s">
        <v>15</v>
      </c>
      <c r="E191" t="s">
        <v>16</v>
      </c>
      <c r="F191" t="s">
        <v>25</v>
      </c>
      <c r="G191">
        <v>88</v>
      </c>
      <c r="H191">
        <v>93</v>
      </c>
      <c r="I191">
        <v>93</v>
      </c>
      <c r="J191">
        <v>81</v>
      </c>
      <c r="K191">
        <v>95</v>
      </c>
      <c r="L191">
        <v>90</v>
      </c>
      <c r="M191" t="s">
        <v>18</v>
      </c>
    </row>
    <row r="192" spans="1:13" x14ac:dyDescent="0.25">
      <c r="A192">
        <v>191</v>
      </c>
      <c r="B192" t="s">
        <v>13</v>
      </c>
      <c r="C192" t="s">
        <v>24</v>
      </c>
      <c r="D192" t="s">
        <v>33</v>
      </c>
      <c r="E192" t="s">
        <v>16</v>
      </c>
      <c r="F192" t="s">
        <v>21</v>
      </c>
      <c r="G192">
        <v>62</v>
      </c>
      <c r="H192">
        <v>69</v>
      </c>
      <c r="I192">
        <v>68</v>
      </c>
      <c r="J192">
        <v>63</v>
      </c>
      <c r="K192">
        <v>58</v>
      </c>
      <c r="L192">
        <v>64</v>
      </c>
      <c r="M192" t="s">
        <v>22</v>
      </c>
    </row>
    <row r="193" spans="1:13" x14ac:dyDescent="0.25">
      <c r="A193">
        <v>192</v>
      </c>
      <c r="B193" t="s">
        <v>19</v>
      </c>
      <c r="C193" t="s">
        <v>29</v>
      </c>
      <c r="D193" t="s">
        <v>32</v>
      </c>
      <c r="E193" t="s">
        <v>31</v>
      </c>
      <c r="F193" t="s">
        <v>17</v>
      </c>
      <c r="G193">
        <v>71</v>
      </c>
      <c r="H193">
        <v>66</v>
      </c>
      <c r="I193">
        <v>91</v>
      </c>
      <c r="J193">
        <v>67</v>
      </c>
      <c r="K193">
        <v>100</v>
      </c>
      <c r="L193">
        <v>79</v>
      </c>
      <c r="M193" t="s">
        <v>22</v>
      </c>
    </row>
    <row r="194" spans="1:13" x14ac:dyDescent="0.25">
      <c r="A194">
        <v>193</v>
      </c>
      <c r="B194" t="s">
        <v>13</v>
      </c>
      <c r="C194" t="s">
        <v>29</v>
      </c>
      <c r="D194" t="s">
        <v>33</v>
      </c>
      <c r="E194" t="s">
        <v>31</v>
      </c>
      <c r="F194" t="s">
        <v>17</v>
      </c>
      <c r="G194">
        <v>55</v>
      </c>
      <c r="H194">
        <v>51</v>
      </c>
      <c r="I194">
        <v>44</v>
      </c>
      <c r="J194">
        <v>59</v>
      </c>
      <c r="K194">
        <v>36</v>
      </c>
      <c r="L194">
        <v>49</v>
      </c>
      <c r="M194" t="s">
        <v>27</v>
      </c>
    </row>
    <row r="195" spans="1:13" x14ac:dyDescent="0.25">
      <c r="A195">
        <v>194</v>
      </c>
      <c r="B195" t="s">
        <v>28</v>
      </c>
      <c r="C195" t="s">
        <v>24</v>
      </c>
      <c r="D195" t="s">
        <v>33</v>
      </c>
      <c r="E195" t="s">
        <v>31</v>
      </c>
      <c r="F195" t="s">
        <v>25</v>
      </c>
      <c r="G195">
        <v>56</v>
      </c>
      <c r="H195">
        <v>68</v>
      </c>
      <c r="I195">
        <v>79</v>
      </c>
      <c r="J195">
        <v>52</v>
      </c>
      <c r="K195">
        <v>44</v>
      </c>
      <c r="L195">
        <v>59.8</v>
      </c>
      <c r="M195" t="s">
        <v>27</v>
      </c>
    </row>
    <row r="196" spans="1:13" x14ac:dyDescent="0.25">
      <c r="A196">
        <v>195</v>
      </c>
      <c r="B196" t="s">
        <v>26</v>
      </c>
      <c r="C196" t="s">
        <v>24</v>
      </c>
      <c r="D196" t="s">
        <v>33</v>
      </c>
      <c r="E196" t="s">
        <v>31</v>
      </c>
      <c r="F196" t="s">
        <v>25</v>
      </c>
      <c r="G196">
        <v>51</v>
      </c>
      <c r="H196">
        <v>53</v>
      </c>
      <c r="I196">
        <v>50</v>
      </c>
      <c r="J196">
        <v>57</v>
      </c>
      <c r="K196">
        <v>45</v>
      </c>
      <c r="L196">
        <v>51.2</v>
      </c>
      <c r="M196" t="s">
        <v>27</v>
      </c>
    </row>
    <row r="197" spans="1:13" x14ac:dyDescent="0.25">
      <c r="A197">
        <v>196</v>
      </c>
      <c r="B197" t="s">
        <v>13</v>
      </c>
      <c r="C197" t="s">
        <v>14</v>
      </c>
      <c r="D197" t="s">
        <v>30</v>
      </c>
      <c r="E197" t="s">
        <v>16</v>
      </c>
      <c r="F197" t="s">
        <v>21</v>
      </c>
      <c r="G197">
        <v>84</v>
      </c>
      <c r="H197">
        <v>83</v>
      </c>
      <c r="I197">
        <v>63</v>
      </c>
      <c r="J197">
        <v>65</v>
      </c>
      <c r="K197">
        <v>72</v>
      </c>
      <c r="L197">
        <v>73.400000000000006</v>
      </c>
      <c r="M197" t="s">
        <v>22</v>
      </c>
    </row>
    <row r="198" spans="1:13" x14ac:dyDescent="0.25">
      <c r="A198">
        <v>197</v>
      </c>
      <c r="B198" t="s">
        <v>26</v>
      </c>
      <c r="C198" t="s">
        <v>29</v>
      </c>
      <c r="D198" t="s">
        <v>33</v>
      </c>
      <c r="E198" t="s">
        <v>16</v>
      </c>
      <c r="F198" t="s">
        <v>21</v>
      </c>
      <c r="G198">
        <v>54</v>
      </c>
      <c r="H198">
        <v>41</v>
      </c>
      <c r="I198">
        <v>44</v>
      </c>
      <c r="J198">
        <v>70</v>
      </c>
      <c r="K198">
        <v>58</v>
      </c>
      <c r="L198">
        <v>53.4</v>
      </c>
      <c r="M198" t="s">
        <v>27</v>
      </c>
    </row>
    <row r="199" spans="1:13" x14ac:dyDescent="0.25">
      <c r="A199">
        <v>198</v>
      </c>
      <c r="B199" t="s">
        <v>13</v>
      </c>
      <c r="C199" t="s">
        <v>14</v>
      </c>
      <c r="D199" t="s">
        <v>20</v>
      </c>
      <c r="E199" t="s">
        <v>16</v>
      </c>
      <c r="F199" t="s">
        <v>25</v>
      </c>
      <c r="G199">
        <v>78</v>
      </c>
      <c r="H199">
        <v>55</v>
      </c>
      <c r="I199">
        <v>70</v>
      </c>
      <c r="J199">
        <v>68</v>
      </c>
      <c r="K199">
        <v>76</v>
      </c>
      <c r="L199">
        <v>69.400000000000006</v>
      </c>
      <c r="M199" t="s">
        <v>22</v>
      </c>
    </row>
    <row r="200" spans="1:13" x14ac:dyDescent="0.25">
      <c r="A200">
        <v>199</v>
      </c>
      <c r="B200" t="s">
        <v>13</v>
      </c>
      <c r="C200" t="s">
        <v>14</v>
      </c>
      <c r="D200" t="s">
        <v>32</v>
      </c>
      <c r="E200" t="s">
        <v>31</v>
      </c>
      <c r="F200" t="s">
        <v>21</v>
      </c>
      <c r="G200">
        <v>90</v>
      </c>
      <c r="H200">
        <v>96</v>
      </c>
      <c r="I200">
        <v>81</v>
      </c>
      <c r="J200">
        <v>77</v>
      </c>
      <c r="K200">
        <v>85</v>
      </c>
      <c r="L200">
        <v>85.8</v>
      </c>
      <c r="M200" t="s">
        <v>18</v>
      </c>
    </row>
    <row r="201" spans="1:13" x14ac:dyDescent="0.25">
      <c r="A201">
        <v>200</v>
      </c>
      <c r="B201" t="s">
        <v>28</v>
      </c>
      <c r="C201" t="s">
        <v>14</v>
      </c>
      <c r="D201" t="s">
        <v>30</v>
      </c>
      <c r="E201" t="s">
        <v>16</v>
      </c>
      <c r="F201" t="s">
        <v>21</v>
      </c>
      <c r="G201">
        <v>85</v>
      </c>
      <c r="H201">
        <v>55</v>
      </c>
      <c r="I201">
        <v>82</v>
      </c>
      <c r="J201">
        <v>78</v>
      </c>
      <c r="K201">
        <v>88</v>
      </c>
      <c r="L201">
        <v>77.599999999999994</v>
      </c>
      <c r="M201" t="s">
        <v>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B8957-C583-4C59-BDB1-6BE5F479E707}">
  <dimension ref="A1:BO201"/>
  <sheetViews>
    <sheetView tabSelected="1" topLeftCell="A2" zoomScale="84" zoomScaleNormal="227" workbookViewId="0">
      <selection activeCell="BP15" sqref="BP15"/>
    </sheetView>
  </sheetViews>
  <sheetFormatPr defaultRowHeight="15" x14ac:dyDescent="0.25"/>
  <cols>
    <col min="1" max="1" width="57" bestFit="1" customWidth="1"/>
    <col min="2" max="2" width="31.140625" bestFit="1" customWidth="1"/>
    <col min="5" max="5" width="18" bestFit="1" customWidth="1"/>
    <col min="7" max="8" width="20.140625" bestFit="1" customWidth="1"/>
    <col min="9" max="9" width="7.5703125" customWidth="1"/>
    <col min="18" max="19" width="13.7109375" bestFit="1" customWidth="1"/>
    <col min="25" max="25" width="18.42578125" bestFit="1" customWidth="1"/>
    <col min="34" max="34" width="27.5703125" bestFit="1" customWidth="1"/>
    <col min="35" max="35" width="27.7109375" bestFit="1" customWidth="1"/>
    <col min="39" max="39" width="4.5703125" bestFit="1" customWidth="1"/>
    <col min="40" max="40" width="12.42578125" bestFit="1" customWidth="1"/>
    <col min="42" max="42" width="9.85546875" bestFit="1" customWidth="1"/>
    <col min="48" max="48" width="18.42578125" bestFit="1" customWidth="1"/>
    <col min="49" max="49" width="12.42578125" bestFit="1" customWidth="1"/>
    <col min="51" max="51" width="9.85546875" bestFit="1" customWidth="1"/>
    <col min="56" max="56" width="18" bestFit="1" customWidth="1"/>
    <col min="57" max="57" width="12.42578125" bestFit="1" customWidth="1"/>
    <col min="64" max="64" width="27.5703125" bestFit="1" customWidth="1"/>
    <col min="65" max="65" width="12.42578125" bestFit="1" customWidth="1"/>
    <col min="66" max="66" width="27.7109375" bestFit="1" customWidth="1"/>
    <col min="67" max="67" width="14" bestFit="1" customWidth="1"/>
  </cols>
  <sheetData>
    <row r="1" spans="1:67" ht="17.25" x14ac:dyDescent="0.25">
      <c r="A1" s="2" t="s">
        <v>34</v>
      </c>
      <c r="B1" s="1" t="s">
        <v>12</v>
      </c>
      <c r="E1" s="1" t="s">
        <v>3</v>
      </c>
      <c r="F1" t="s">
        <v>37</v>
      </c>
      <c r="G1" t="s">
        <v>36</v>
      </c>
      <c r="I1" s="3" t="s">
        <v>4</v>
      </c>
      <c r="R1" s="1" t="s">
        <v>1</v>
      </c>
      <c r="Y1" s="1" t="s">
        <v>2</v>
      </c>
      <c r="AH1" s="1" t="s">
        <v>5</v>
      </c>
      <c r="AM1" s="3" t="s">
        <v>4</v>
      </c>
      <c r="AN1" s="1" t="s">
        <v>11</v>
      </c>
      <c r="AV1" s="1" t="s">
        <v>2</v>
      </c>
      <c r="AW1" s="1" t="s">
        <v>11</v>
      </c>
      <c r="BD1" s="1" t="s">
        <v>3</v>
      </c>
      <c r="BE1" s="1" t="s">
        <v>11</v>
      </c>
      <c r="BL1" s="1" t="s">
        <v>5</v>
      </c>
      <c r="BM1" s="1" t="s">
        <v>11</v>
      </c>
    </row>
    <row r="2" spans="1:67" x14ac:dyDescent="0.25">
      <c r="B2" t="s">
        <v>18</v>
      </c>
      <c r="C2" t="s">
        <v>27</v>
      </c>
      <c r="D2">
        <f>COUNTIF(B2:B201,"Низкий")</f>
        <v>40</v>
      </c>
      <c r="E2" t="s">
        <v>15</v>
      </c>
      <c r="F2" t="s">
        <v>15</v>
      </c>
      <c r="G2">
        <f>COUNTIF(E2:E201, "18-25")</f>
        <v>40</v>
      </c>
      <c r="I2" t="s">
        <v>16</v>
      </c>
      <c r="J2" t="s">
        <v>41</v>
      </c>
      <c r="K2">
        <f>COUNTIF(I$2:I201,"М")</f>
        <v>97</v>
      </c>
      <c r="R2" t="s">
        <v>13</v>
      </c>
      <c r="S2" t="s">
        <v>13</v>
      </c>
      <c r="T2">
        <f>COUNTIF(R:R,"Восточный")</f>
        <v>48</v>
      </c>
      <c r="Y2" t="s">
        <v>14</v>
      </c>
      <c r="AH2" t="s">
        <v>17</v>
      </c>
      <c r="AI2" t="s">
        <v>17</v>
      </c>
      <c r="AJ2">
        <f>COUNTIF(AH:AH,"Среднее")</f>
        <v>67</v>
      </c>
      <c r="AM2" t="s">
        <v>16</v>
      </c>
      <c r="AN2">
        <v>84</v>
      </c>
      <c r="AO2" t="s">
        <v>43</v>
      </c>
      <c r="AP2" t="s">
        <v>42</v>
      </c>
      <c r="AV2" t="s">
        <v>14</v>
      </c>
      <c r="AW2">
        <v>84</v>
      </c>
      <c r="AY2" t="s">
        <v>42</v>
      </c>
      <c r="BD2" t="s">
        <v>15</v>
      </c>
      <c r="BE2">
        <v>84</v>
      </c>
      <c r="BF2" t="s">
        <v>37</v>
      </c>
      <c r="BG2" t="s">
        <v>42</v>
      </c>
      <c r="BL2" t="s">
        <v>17</v>
      </c>
      <c r="BM2">
        <v>84</v>
      </c>
    </row>
    <row r="3" spans="1:67" x14ac:dyDescent="0.25">
      <c r="B3" t="s">
        <v>18</v>
      </c>
      <c r="C3" t="s">
        <v>22</v>
      </c>
      <c r="D3">
        <f>COUNTIF(B3:B202,"Средний")</f>
        <v>91</v>
      </c>
      <c r="E3" t="s">
        <v>15</v>
      </c>
      <c r="F3" t="s">
        <v>32</v>
      </c>
      <c r="G3">
        <f>COUNTIF(E$2:E$202,"26-35")</f>
        <v>38</v>
      </c>
      <c r="I3" t="s">
        <v>16</v>
      </c>
      <c r="J3" t="s">
        <v>40</v>
      </c>
      <c r="K3">
        <f>COUNTIF(I$2:I202,"ж")</f>
        <v>103</v>
      </c>
      <c r="R3" t="s">
        <v>13</v>
      </c>
      <c r="S3" t="s">
        <v>19</v>
      </c>
      <c r="T3">
        <f>COUNTIF(R:R,"Северный")</f>
        <v>43</v>
      </c>
      <c r="Y3" t="s">
        <v>14</v>
      </c>
      <c r="Z3" t="s">
        <v>29</v>
      </c>
      <c r="AA3">
        <f>COUNTIF(Y:Y,"Город")</f>
        <v>62</v>
      </c>
      <c r="AH3" t="s">
        <v>17</v>
      </c>
      <c r="AI3" t="s">
        <v>21</v>
      </c>
      <c r="AJ3">
        <f>COUNTIF(AH:AH,"высшее")</f>
        <v>69</v>
      </c>
      <c r="AM3" t="s">
        <v>16</v>
      </c>
      <c r="AN3">
        <v>86.4</v>
      </c>
      <c r="AO3" t="s">
        <v>38</v>
      </c>
      <c r="AP3" s="4">
        <f>AVERAGEIF(AM:AM,"М",AN:AN)</f>
        <v>71.791752577319585</v>
      </c>
      <c r="AV3" t="s">
        <v>14</v>
      </c>
      <c r="AW3">
        <v>86.4</v>
      </c>
      <c r="AX3" t="s">
        <v>44</v>
      </c>
      <c r="AY3" s="4">
        <f>AVERAGEIF(AV:AV,"город",AW:AW)</f>
        <v>71.196774193548407</v>
      </c>
      <c r="BD3" t="s">
        <v>15</v>
      </c>
      <c r="BE3">
        <v>86.4</v>
      </c>
      <c r="BF3" t="s">
        <v>15</v>
      </c>
      <c r="BG3" s="4">
        <f>AVERAGEIF(BD:BD,"18-25",BE:BE)</f>
        <v>87.135000000000005</v>
      </c>
      <c r="BL3" t="s">
        <v>17</v>
      </c>
      <c r="BM3">
        <v>86.4</v>
      </c>
      <c r="BN3" t="s">
        <v>5</v>
      </c>
      <c r="BO3" t="s">
        <v>35</v>
      </c>
    </row>
    <row r="4" spans="1:67" x14ac:dyDescent="0.25">
      <c r="B4" t="s">
        <v>22</v>
      </c>
      <c r="C4" t="s">
        <v>18</v>
      </c>
      <c r="D4">
        <f>COUNTIF(B4:B203,"Высокий")</f>
        <v>67</v>
      </c>
      <c r="E4" t="s">
        <v>20</v>
      </c>
      <c r="F4" t="s">
        <v>30</v>
      </c>
      <c r="G4">
        <f>COUNTIF(E$2:E$202,"36-45")</f>
        <v>40</v>
      </c>
      <c r="I4" t="s">
        <v>16</v>
      </c>
      <c r="R4" t="s">
        <v>19</v>
      </c>
      <c r="S4" t="s">
        <v>28</v>
      </c>
      <c r="T4">
        <f>COUNTIF(R:R,"южный")</f>
        <v>41</v>
      </c>
      <c r="Y4" t="s">
        <v>14</v>
      </c>
      <c r="Z4" t="s">
        <v>24</v>
      </c>
      <c r="AA4">
        <f>COUNTIF(Y:Y,"село")</f>
        <v>67</v>
      </c>
      <c r="AH4" t="s">
        <v>21</v>
      </c>
      <c r="AI4" t="s">
        <v>25</v>
      </c>
      <c r="AJ4">
        <f>COUNTIF(AH:AH,"среднее профессиональное")</f>
        <v>64</v>
      </c>
      <c r="AM4" t="s">
        <v>16</v>
      </c>
      <c r="AN4">
        <v>70.2</v>
      </c>
      <c r="AO4" t="s">
        <v>39</v>
      </c>
      <c r="AP4" s="4">
        <f>AVERAGEIF(AM:AM,"Ж",AN:AN)</f>
        <v>72.588349514563106</v>
      </c>
      <c r="AV4" t="s">
        <v>14</v>
      </c>
      <c r="AW4">
        <v>70.2</v>
      </c>
      <c r="AX4" t="s">
        <v>45</v>
      </c>
      <c r="AY4" s="4">
        <f>AVERAGEIF(AV:AV,"село",AW:AW)</f>
        <v>74.086567164179087</v>
      </c>
      <c r="BD4" t="s">
        <v>20</v>
      </c>
      <c r="BE4">
        <v>70.2</v>
      </c>
      <c r="BF4" t="s">
        <v>32</v>
      </c>
      <c r="BG4" s="4">
        <f>AVERAGEIF(BD:BD,"26-35",BE:BE)</f>
        <v>82.915789473684228</v>
      </c>
      <c r="BL4" t="s">
        <v>21</v>
      </c>
      <c r="BM4">
        <v>70.2</v>
      </c>
      <c r="BN4" t="s">
        <v>17</v>
      </c>
      <c r="BO4" s="4">
        <f>AVERAGEIF(BL:BL,"Среднее",BM:BM)</f>
        <v>68.104477611940311</v>
      </c>
    </row>
    <row r="5" spans="1:67" x14ac:dyDescent="0.25">
      <c r="B5" t="s">
        <v>18</v>
      </c>
      <c r="E5" t="s">
        <v>15</v>
      </c>
      <c r="F5" t="s">
        <v>20</v>
      </c>
      <c r="G5">
        <f>COUNTIF(E$2:E$202,"46-60")</f>
        <v>42</v>
      </c>
      <c r="I5" t="s">
        <v>16</v>
      </c>
      <c r="R5" t="s">
        <v>23</v>
      </c>
      <c r="S5" t="s">
        <v>26</v>
      </c>
      <c r="T5">
        <f>COUNTIF(R:R,"центральный")</f>
        <v>39</v>
      </c>
      <c r="Y5" t="s">
        <v>24</v>
      </c>
      <c r="Z5" t="s">
        <v>14</v>
      </c>
      <c r="AA5">
        <f>COUNTIF(Y:Y,"посёлок")</f>
        <v>71</v>
      </c>
      <c r="AH5" t="s">
        <v>25</v>
      </c>
      <c r="AM5" t="s">
        <v>16</v>
      </c>
      <c r="AN5">
        <v>87.8</v>
      </c>
      <c r="AV5" t="s">
        <v>24</v>
      </c>
      <c r="AW5">
        <v>87.8</v>
      </c>
      <c r="AX5" t="s">
        <v>46</v>
      </c>
      <c r="AY5" s="4">
        <f>AVERAGEIF(AV:AV,"Посёлок",AW:AW)</f>
        <v>71.301408450704216</v>
      </c>
      <c r="BD5" t="s">
        <v>15</v>
      </c>
      <c r="BE5">
        <v>87.8</v>
      </c>
      <c r="BF5" t="s">
        <v>30</v>
      </c>
      <c r="BG5" s="4">
        <f>AVERAGEIF(BD:BD,"36-45",BE:BE)</f>
        <v>72.675000000000026</v>
      </c>
      <c r="BL5" t="s">
        <v>25</v>
      </c>
      <c r="BM5">
        <v>87.8</v>
      </c>
      <c r="BN5" t="s">
        <v>21</v>
      </c>
      <c r="BO5" s="4">
        <f>AVERAGEIF(BL:BL,"Высшее",BM:BM)</f>
        <v>74.936231884057975</v>
      </c>
    </row>
    <row r="6" spans="1:67" x14ac:dyDescent="0.25">
      <c r="B6" t="s">
        <v>27</v>
      </c>
      <c r="E6" t="s">
        <v>20</v>
      </c>
      <c r="F6" t="s">
        <v>33</v>
      </c>
      <c r="G6">
        <f>COUNTIF(E$2:E$202,"60+")</f>
        <v>40</v>
      </c>
      <c r="I6" t="s">
        <v>16</v>
      </c>
      <c r="R6" t="s">
        <v>26</v>
      </c>
      <c r="S6" t="s">
        <v>23</v>
      </c>
      <c r="T6">
        <f>COUNTIF(R:R,"западный")</f>
        <v>29</v>
      </c>
      <c r="Y6" t="s">
        <v>24</v>
      </c>
      <c r="AH6" t="s">
        <v>17</v>
      </c>
      <c r="AM6" t="s">
        <v>16</v>
      </c>
      <c r="AN6">
        <v>48.4</v>
      </c>
      <c r="AV6" t="s">
        <v>24</v>
      </c>
      <c r="AW6">
        <v>48.4</v>
      </c>
      <c r="BD6" t="s">
        <v>20</v>
      </c>
      <c r="BE6">
        <v>48.4</v>
      </c>
      <c r="BF6" t="s">
        <v>20</v>
      </c>
      <c r="BG6" s="4">
        <f>AVERAGEIF(BD:BD,"46-60",BE:BE)</f>
        <v>65.066666666666677</v>
      </c>
      <c r="BL6" t="s">
        <v>17</v>
      </c>
      <c r="BM6">
        <v>48.4</v>
      </c>
      <c r="BN6" t="s">
        <v>25</v>
      </c>
      <c r="BO6" s="4">
        <f>AVERAGEIF(BL:BL,"Среднее профессиональное",BM:BM)</f>
        <v>73.543750000000003</v>
      </c>
    </row>
    <row r="7" spans="1:67" x14ac:dyDescent="0.25">
      <c r="B7" t="s">
        <v>22</v>
      </c>
      <c r="E7" t="s">
        <v>30</v>
      </c>
      <c r="I7" t="s">
        <v>31</v>
      </c>
      <c r="R7" t="s">
        <v>28</v>
      </c>
      <c r="Y7" t="s">
        <v>29</v>
      </c>
      <c r="AH7" t="s">
        <v>17</v>
      </c>
      <c r="AM7" t="s">
        <v>31</v>
      </c>
      <c r="AN7">
        <v>69.2</v>
      </c>
      <c r="AV7" t="s">
        <v>29</v>
      </c>
      <c r="AW7">
        <v>69.2</v>
      </c>
      <c r="BD7" t="s">
        <v>30</v>
      </c>
      <c r="BE7">
        <v>69.2</v>
      </c>
      <c r="BF7" t="s">
        <v>33</v>
      </c>
      <c r="BG7" s="4">
        <f>AVERAGEIF(BD:BD,"60+",BE:BE)</f>
        <v>54.109999999999992</v>
      </c>
      <c r="BL7" t="s">
        <v>17</v>
      </c>
      <c r="BM7">
        <v>69.2</v>
      </c>
    </row>
    <row r="8" spans="1:67" x14ac:dyDescent="0.25">
      <c r="B8" t="s">
        <v>22</v>
      </c>
      <c r="E8" t="s">
        <v>30</v>
      </c>
      <c r="I8" t="s">
        <v>31</v>
      </c>
      <c r="R8" t="s">
        <v>19</v>
      </c>
      <c r="Y8" t="s">
        <v>29</v>
      </c>
      <c r="AH8" t="s">
        <v>17</v>
      </c>
      <c r="AM8" t="s">
        <v>31</v>
      </c>
      <c r="AN8">
        <v>64.599999999999994</v>
      </c>
      <c r="AV8" t="s">
        <v>29</v>
      </c>
      <c r="AW8">
        <v>64.599999999999994</v>
      </c>
      <c r="BD8" t="s">
        <v>30</v>
      </c>
      <c r="BE8">
        <v>64.599999999999994</v>
      </c>
      <c r="BL8" t="s">
        <v>17</v>
      </c>
      <c r="BM8">
        <v>64.599999999999994</v>
      </c>
    </row>
    <row r="9" spans="1:67" x14ac:dyDescent="0.25">
      <c r="B9" t="s">
        <v>22</v>
      </c>
      <c r="E9" t="s">
        <v>20</v>
      </c>
      <c r="I9" t="s">
        <v>16</v>
      </c>
      <c r="R9" t="s">
        <v>26</v>
      </c>
      <c r="Y9" t="s">
        <v>29</v>
      </c>
      <c r="AH9" t="s">
        <v>25</v>
      </c>
      <c r="AM9" t="s">
        <v>16</v>
      </c>
      <c r="AN9">
        <v>61.4</v>
      </c>
      <c r="AV9" t="s">
        <v>29</v>
      </c>
      <c r="AW9">
        <v>61.4</v>
      </c>
      <c r="BD9" t="s">
        <v>20</v>
      </c>
      <c r="BE9">
        <v>61.4</v>
      </c>
      <c r="BL9" t="s">
        <v>25</v>
      </c>
      <c r="BM9">
        <v>61.4</v>
      </c>
    </row>
    <row r="10" spans="1:67" x14ac:dyDescent="0.25">
      <c r="B10" t="s">
        <v>22</v>
      </c>
      <c r="E10" t="s">
        <v>30</v>
      </c>
      <c r="I10" t="s">
        <v>31</v>
      </c>
      <c r="R10" t="s">
        <v>23</v>
      </c>
      <c r="Y10" t="s">
        <v>24</v>
      </c>
      <c r="AH10" t="s">
        <v>25</v>
      </c>
      <c r="AM10" t="s">
        <v>31</v>
      </c>
      <c r="AN10">
        <v>77</v>
      </c>
      <c r="AV10" t="s">
        <v>24</v>
      </c>
      <c r="AW10">
        <v>77</v>
      </c>
      <c r="BD10" t="s">
        <v>30</v>
      </c>
      <c r="BE10">
        <v>77</v>
      </c>
      <c r="BL10" t="s">
        <v>25</v>
      </c>
      <c r="BM10">
        <v>77</v>
      </c>
    </row>
    <row r="11" spans="1:67" x14ac:dyDescent="0.25">
      <c r="B11" t="s">
        <v>18</v>
      </c>
      <c r="E11" t="s">
        <v>32</v>
      </c>
      <c r="I11" t="s">
        <v>31</v>
      </c>
      <c r="R11" t="s">
        <v>23</v>
      </c>
      <c r="Y11" t="s">
        <v>24</v>
      </c>
      <c r="AH11" t="s">
        <v>25</v>
      </c>
      <c r="AM11" t="s">
        <v>31</v>
      </c>
      <c r="AN11">
        <v>85.6</v>
      </c>
      <c r="AV11" t="s">
        <v>24</v>
      </c>
      <c r="AW11">
        <v>85.6</v>
      </c>
      <c r="BD11" t="s">
        <v>32</v>
      </c>
      <c r="BE11">
        <v>85.6</v>
      </c>
      <c r="BL11" t="s">
        <v>25</v>
      </c>
      <c r="BM11">
        <v>85.6</v>
      </c>
    </row>
    <row r="12" spans="1:67" x14ac:dyDescent="0.25">
      <c r="B12" t="s">
        <v>22</v>
      </c>
      <c r="E12" t="s">
        <v>30</v>
      </c>
      <c r="I12" t="s">
        <v>31</v>
      </c>
      <c r="R12" t="s">
        <v>19</v>
      </c>
      <c r="Y12" t="s">
        <v>24</v>
      </c>
      <c r="AH12" t="s">
        <v>17</v>
      </c>
      <c r="AM12" t="s">
        <v>31</v>
      </c>
      <c r="AN12">
        <v>70</v>
      </c>
      <c r="AV12" t="s">
        <v>24</v>
      </c>
      <c r="AW12">
        <v>70</v>
      </c>
      <c r="BD12" t="s">
        <v>30</v>
      </c>
      <c r="BE12">
        <v>70</v>
      </c>
      <c r="BL12" t="s">
        <v>17</v>
      </c>
      <c r="BM12">
        <v>70</v>
      </c>
    </row>
    <row r="13" spans="1:67" x14ac:dyDescent="0.25">
      <c r="B13" t="s">
        <v>27</v>
      </c>
      <c r="E13" t="s">
        <v>33</v>
      </c>
      <c r="I13" t="s">
        <v>16</v>
      </c>
      <c r="R13" t="s">
        <v>13</v>
      </c>
      <c r="Y13" t="s">
        <v>29</v>
      </c>
      <c r="AH13" t="s">
        <v>17</v>
      </c>
      <c r="AM13" t="s">
        <v>16</v>
      </c>
      <c r="AN13">
        <v>47</v>
      </c>
      <c r="AV13" t="s">
        <v>29</v>
      </c>
      <c r="AW13">
        <v>47</v>
      </c>
      <c r="BD13" t="s">
        <v>33</v>
      </c>
      <c r="BE13">
        <v>47</v>
      </c>
      <c r="BL13" t="s">
        <v>17</v>
      </c>
      <c r="BM13">
        <v>47</v>
      </c>
    </row>
    <row r="14" spans="1:67" x14ac:dyDescent="0.25">
      <c r="B14" t="s">
        <v>27</v>
      </c>
      <c r="E14" t="s">
        <v>33</v>
      </c>
      <c r="I14" t="s">
        <v>16</v>
      </c>
      <c r="R14" t="s">
        <v>28</v>
      </c>
      <c r="Y14" t="s">
        <v>24</v>
      </c>
      <c r="AH14" t="s">
        <v>25</v>
      </c>
      <c r="AM14" t="s">
        <v>16</v>
      </c>
      <c r="AN14">
        <v>54.8</v>
      </c>
      <c r="AV14" t="s">
        <v>24</v>
      </c>
      <c r="AW14">
        <v>54.8</v>
      </c>
      <c r="BD14" t="s">
        <v>33</v>
      </c>
      <c r="BE14">
        <v>54.8</v>
      </c>
      <c r="BL14" t="s">
        <v>25</v>
      </c>
      <c r="BM14">
        <v>54.8</v>
      </c>
    </row>
    <row r="15" spans="1:67" x14ac:dyDescent="0.25">
      <c r="B15" t="s">
        <v>27</v>
      </c>
      <c r="E15" t="s">
        <v>33</v>
      </c>
      <c r="I15" t="s">
        <v>16</v>
      </c>
      <c r="R15" t="s">
        <v>19</v>
      </c>
      <c r="Y15" t="s">
        <v>14</v>
      </c>
      <c r="AH15" t="s">
        <v>17</v>
      </c>
      <c r="AM15" t="s">
        <v>16</v>
      </c>
      <c r="AN15">
        <v>45.6</v>
      </c>
      <c r="AV15" t="s">
        <v>14</v>
      </c>
      <c r="AW15">
        <v>45.6</v>
      </c>
      <c r="BD15" t="s">
        <v>33</v>
      </c>
      <c r="BE15">
        <v>45.6</v>
      </c>
      <c r="BL15" t="s">
        <v>17</v>
      </c>
      <c r="BM15">
        <v>45.6</v>
      </c>
    </row>
    <row r="16" spans="1:67" x14ac:dyDescent="0.25">
      <c r="B16" t="s">
        <v>27</v>
      </c>
      <c r="E16" t="s">
        <v>33</v>
      </c>
      <c r="I16" t="s">
        <v>16</v>
      </c>
      <c r="R16" t="s">
        <v>28</v>
      </c>
      <c r="Y16" t="s">
        <v>29</v>
      </c>
      <c r="AH16" t="s">
        <v>21</v>
      </c>
      <c r="AM16" t="s">
        <v>16</v>
      </c>
      <c r="AN16">
        <v>54</v>
      </c>
      <c r="AV16" t="s">
        <v>29</v>
      </c>
      <c r="AW16">
        <v>54</v>
      </c>
      <c r="BD16" t="s">
        <v>33</v>
      </c>
      <c r="BE16">
        <v>54</v>
      </c>
      <c r="BL16" t="s">
        <v>21</v>
      </c>
      <c r="BM16">
        <v>54</v>
      </c>
    </row>
    <row r="17" spans="2:65" x14ac:dyDescent="0.25">
      <c r="B17" t="s">
        <v>18</v>
      </c>
      <c r="E17" t="s">
        <v>32</v>
      </c>
      <c r="I17" t="s">
        <v>16</v>
      </c>
      <c r="R17" t="s">
        <v>13</v>
      </c>
      <c r="Y17" t="s">
        <v>29</v>
      </c>
      <c r="AH17" t="s">
        <v>21</v>
      </c>
      <c r="AM17" t="s">
        <v>16</v>
      </c>
      <c r="AN17">
        <v>89.8</v>
      </c>
      <c r="AV17" t="s">
        <v>29</v>
      </c>
      <c r="AW17">
        <v>89.8</v>
      </c>
      <c r="BD17" t="s">
        <v>32</v>
      </c>
      <c r="BE17">
        <v>89.8</v>
      </c>
      <c r="BL17" t="s">
        <v>21</v>
      </c>
      <c r="BM17">
        <v>89.8</v>
      </c>
    </row>
    <row r="18" spans="2:65" x14ac:dyDescent="0.25">
      <c r="B18" t="s">
        <v>22</v>
      </c>
      <c r="E18" t="s">
        <v>20</v>
      </c>
      <c r="I18" t="s">
        <v>31</v>
      </c>
      <c r="R18" t="s">
        <v>19</v>
      </c>
      <c r="Y18" t="s">
        <v>24</v>
      </c>
      <c r="AH18" t="s">
        <v>21</v>
      </c>
      <c r="AM18" t="s">
        <v>31</v>
      </c>
      <c r="AN18">
        <v>68.599999999999994</v>
      </c>
      <c r="AV18" t="s">
        <v>24</v>
      </c>
      <c r="AW18">
        <v>68.599999999999994</v>
      </c>
      <c r="BD18" t="s">
        <v>20</v>
      </c>
      <c r="BE18">
        <v>68.599999999999994</v>
      </c>
      <c r="BL18" t="s">
        <v>21</v>
      </c>
      <c r="BM18">
        <v>68.599999999999994</v>
      </c>
    </row>
    <row r="19" spans="2:65" x14ac:dyDescent="0.25">
      <c r="B19" t="s">
        <v>22</v>
      </c>
      <c r="E19" t="s">
        <v>20</v>
      </c>
      <c r="I19" t="s">
        <v>31</v>
      </c>
      <c r="R19" t="s">
        <v>19</v>
      </c>
      <c r="Y19" t="s">
        <v>29</v>
      </c>
      <c r="AH19" t="s">
        <v>21</v>
      </c>
      <c r="AM19" t="s">
        <v>31</v>
      </c>
      <c r="AN19">
        <v>63.8</v>
      </c>
      <c r="AV19" t="s">
        <v>29</v>
      </c>
      <c r="AW19">
        <v>63.8</v>
      </c>
      <c r="BD19" t="s">
        <v>20</v>
      </c>
      <c r="BE19">
        <v>63.8</v>
      </c>
      <c r="BL19" t="s">
        <v>21</v>
      </c>
      <c r="BM19">
        <v>63.8</v>
      </c>
    </row>
    <row r="20" spans="2:65" x14ac:dyDescent="0.25">
      <c r="B20" t="s">
        <v>18</v>
      </c>
      <c r="E20" t="s">
        <v>15</v>
      </c>
      <c r="I20" t="s">
        <v>16</v>
      </c>
      <c r="R20" t="s">
        <v>26</v>
      </c>
      <c r="Y20" t="s">
        <v>14</v>
      </c>
      <c r="AH20" t="s">
        <v>21</v>
      </c>
      <c r="AM20" t="s">
        <v>16</v>
      </c>
      <c r="AN20">
        <v>91.4</v>
      </c>
      <c r="AV20" t="s">
        <v>14</v>
      </c>
      <c r="AW20">
        <v>91.4</v>
      </c>
      <c r="BD20" t="s">
        <v>15</v>
      </c>
      <c r="BE20">
        <v>91.4</v>
      </c>
      <c r="BL20" t="s">
        <v>21</v>
      </c>
      <c r="BM20">
        <v>91.4</v>
      </c>
    </row>
    <row r="21" spans="2:65" x14ac:dyDescent="0.25">
      <c r="B21" t="s">
        <v>27</v>
      </c>
      <c r="E21" t="s">
        <v>33</v>
      </c>
      <c r="I21" t="s">
        <v>31</v>
      </c>
      <c r="R21" t="s">
        <v>13</v>
      </c>
      <c r="Y21" t="s">
        <v>24</v>
      </c>
      <c r="AH21" t="s">
        <v>17</v>
      </c>
      <c r="AM21" t="s">
        <v>31</v>
      </c>
      <c r="AN21">
        <v>47.8</v>
      </c>
      <c r="AV21" t="s">
        <v>24</v>
      </c>
      <c r="AW21">
        <v>47.8</v>
      </c>
      <c r="BD21" t="s">
        <v>33</v>
      </c>
      <c r="BE21">
        <v>47.8</v>
      </c>
      <c r="BL21" t="s">
        <v>17</v>
      </c>
      <c r="BM21">
        <v>47.8</v>
      </c>
    </row>
    <row r="22" spans="2:65" x14ac:dyDescent="0.25">
      <c r="B22" t="s">
        <v>18</v>
      </c>
      <c r="E22" t="s">
        <v>32</v>
      </c>
      <c r="I22" t="s">
        <v>16</v>
      </c>
      <c r="R22" t="s">
        <v>26</v>
      </c>
      <c r="Y22" t="s">
        <v>24</v>
      </c>
      <c r="AH22" t="s">
        <v>25</v>
      </c>
      <c r="AM22" t="s">
        <v>16</v>
      </c>
      <c r="AN22">
        <v>82.8</v>
      </c>
      <c r="AV22" t="s">
        <v>24</v>
      </c>
      <c r="AW22">
        <v>82.8</v>
      </c>
      <c r="BD22" t="s">
        <v>32</v>
      </c>
      <c r="BE22">
        <v>82.8</v>
      </c>
      <c r="BL22" t="s">
        <v>25</v>
      </c>
      <c r="BM22">
        <v>82.8</v>
      </c>
    </row>
    <row r="23" spans="2:65" x14ac:dyDescent="0.25">
      <c r="B23" t="s">
        <v>18</v>
      </c>
      <c r="E23" t="s">
        <v>15</v>
      </c>
      <c r="I23" t="s">
        <v>16</v>
      </c>
      <c r="R23" t="s">
        <v>13</v>
      </c>
      <c r="Y23" t="s">
        <v>14</v>
      </c>
      <c r="AH23" t="s">
        <v>25</v>
      </c>
      <c r="AM23" t="s">
        <v>16</v>
      </c>
      <c r="AN23">
        <v>86.6</v>
      </c>
      <c r="AV23" t="s">
        <v>14</v>
      </c>
      <c r="AW23">
        <v>86.6</v>
      </c>
      <c r="BD23" t="s">
        <v>15</v>
      </c>
      <c r="BE23">
        <v>86.6</v>
      </c>
      <c r="BL23" t="s">
        <v>25</v>
      </c>
      <c r="BM23">
        <v>86.6</v>
      </c>
    </row>
    <row r="24" spans="2:65" x14ac:dyDescent="0.25">
      <c r="B24" t="s">
        <v>22</v>
      </c>
      <c r="E24" t="s">
        <v>20</v>
      </c>
      <c r="I24" t="s">
        <v>16</v>
      </c>
      <c r="R24" t="s">
        <v>26</v>
      </c>
      <c r="Y24" t="s">
        <v>24</v>
      </c>
      <c r="AH24" t="s">
        <v>17</v>
      </c>
      <c r="AM24" t="s">
        <v>16</v>
      </c>
      <c r="AN24">
        <v>65.2</v>
      </c>
      <c r="AV24" t="s">
        <v>24</v>
      </c>
      <c r="AW24">
        <v>65.2</v>
      </c>
      <c r="BD24" t="s">
        <v>20</v>
      </c>
      <c r="BE24">
        <v>65.2</v>
      </c>
      <c r="BL24" t="s">
        <v>17</v>
      </c>
      <c r="BM24">
        <v>65.2</v>
      </c>
    </row>
    <row r="25" spans="2:65" x14ac:dyDescent="0.25">
      <c r="B25" t="s">
        <v>18</v>
      </c>
      <c r="E25" t="s">
        <v>15</v>
      </c>
      <c r="I25" t="s">
        <v>31</v>
      </c>
      <c r="R25" t="s">
        <v>26</v>
      </c>
      <c r="Y25" t="s">
        <v>29</v>
      </c>
      <c r="AH25" t="s">
        <v>17</v>
      </c>
      <c r="AM25" t="s">
        <v>31</v>
      </c>
      <c r="AN25">
        <v>88</v>
      </c>
      <c r="AV25" t="s">
        <v>29</v>
      </c>
      <c r="AW25">
        <v>88</v>
      </c>
      <c r="BD25" t="s">
        <v>15</v>
      </c>
      <c r="BE25">
        <v>88</v>
      </c>
      <c r="BL25" t="s">
        <v>17</v>
      </c>
      <c r="BM25">
        <v>88</v>
      </c>
    </row>
    <row r="26" spans="2:65" x14ac:dyDescent="0.25">
      <c r="B26" t="s">
        <v>18</v>
      </c>
      <c r="E26" t="s">
        <v>15</v>
      </c>
      <c r="I26" t="s">
        <v>31</v>
      </c>
      <c r="R26" t="s">
        <v>13</v>
      </c>
      <c r="Y26" t="s">
        <v>24</v>
      </c>
      <c r="AH26" t="s">
        <v>25</v>
      </c>
      <c r="AM26" t="s">
        <v>31</v>
      </c>
      <c r="AN26">
        <v>90.6</v>
      </c>
      <c r="AV26" t="s">
        <v>24</v>
      </c>
      <c r="AW26">
        <v>90.6</v>
      </c>
      <c r="BD26" t="s">
        <v>15</v>
      </c>
      <c r="BE26">
        <v>90.6</v>
      </c>
      <c r="BL26" t="s">
        <v>25</v>
      </c>
      <c r="BM26">
        <v>90.6</v>
      </c>
    </row>
    <row r="27" spans="2:65" x14ac:dyDescent="0.25">
      <c r="B27" t="s">
        <v>22</v>
      </c>
      <c r="E27" t="s">
        <v>32</v>
      </c>
      <c r="I27" t="s">
        <v>16</v>
      </c>
      <c r="R27" t="s">
        <v>28</v>
      </c>
      <c r="Y27" t="s">
        <v>29</v>
      </c>
      <c r="AH27" t="s">
        <v>17</v>
      </c>
      <c r="AM27" t="s">
        <v>16</v>
      </c>
      <c r="AN27">
        <v>77.2</v>
      </c>
      <c r="AV27" t="s">
        <v>29</v>
      </c>
      <c r="AW27">
        <v>77.2</v>
      </c>
      <c r="BD27" t="s">
        <v>32</v>
      </c>
      <c r="BE27">
        <v>77.2</v>
      </c>
      <c r="BL27" t="s">
        <v>17</v>
      </c>
      <c r="BM27">
        <v>77.2</v>
      </c>
    </row>
    <row r="28" spans="2:65" x14ac:dyDescent="0.25">
      <c r="B28" t="s">
        <v>27</v>
      </c>
      <c r="E28" t="s">
        <v>33</v>
      </c>
      <c r="I28" t="s">
        <v>16</v>
      </c>
      <c r="R28" t="s">
        <v>13</v>
      </c>
      <c r="Y28" t="s">
        <v>29</v>
      </c>
      <c r="AH28" t="s">
        <v>25</v>
      </c>
      <c r="AM28" t="s">
        <v>16</v>
      </c>
      <c r="AN28">
        <v>56.6</v>
      </c>
      <c r="AV28" t="s">
        <v>29</v>
      </c>
      <c r="AW28">
        <v>56.6</v>
      </c>
      <c r="BD28" t="s">
        <v>33</v>
      </c>
      <c r="BE28">
        <v>56.6</v>
      </c>
      <c r="BL28" t="s">
        <v>25</v>
      </c>
      <c r="BM28">
        <v>56.6</v>
      </c>
    </row>
    <row r="29" spans="2:65" x14ac:dyDescent="0.25">
      <c r="B29" t="s">
        <v>22</v>
      </c>
      <c r="E29" t="s">
        <v>20</v>
      </c>
      <c r="I29" t="s">
        <v>31</v>
      </c>
      <c r="R29" t="s">
        <v>26</v>
      </c>
      <c r="Y29" t="s">
        <v>14</v>
      </c>
      <c r="AH29" t="s">
        <v>17</v>
      </c>
      <c r="AM29" t="s">
        <v>31</v>
      </c>
      <c r="AN29">
        <v>63</v>
      </c>
      <c r="AV29" t="s">
        <v>14</v>
      </c>
      <c r="AW29">
        <v>63</v>
      </c>
      <c r="BD29" t="s">
        <v>20</v>
      </c>
      <c r="BE29">
        <v>63</v>
      </c>
      <c r="BL29" t="s">
        <v>17</v>
      </c>
      <c r="BM29">
        <v>63</v>
      </c>
    </row>
    <row r="30" spans="2:65" x14ac:dyDescent="0.25">
      <c r="B30" t="s">
        <v>22</v>
      </c>
      <c r="E30" t="s">
        <v>30</v>
      </c>
      <c r="I30" t="s">
        <v>31</v>
      </c>
      <c r="R30" t="s">
        <v>26</v>
      </c>
      <c r="Y30" t="s">
        <v>29</v>
      </c>
      <c r="AH30" t="s">
        <v>17</v>
      </c>
      <c r="AM30" t="s">
        <v>31</v>
      </c>
      <c r="AN30">
        <v>68.8</v>
      </c>
      <c r="AV30" t="s">
        <v>29</v>
      </c>
      <c r="AW30">
        <v>68.8</v>
      </c>
      <c r="BD30" t="s">
        <v>30</v>
      </c>
      <c r="BE30">
        <v>68.8</v>
      </c>
      <c r="BL30" t="s">
        <v>17</v>
      </c>
      <c r="BM30">
        <v>68.8</v>
      </c>
    </row>
    <row r="31" spans="2:65" x14ac:dyDescent="0.25">
      <c r="B31" t="s">
        <v>27</v>
      </c>
      <c r="E31" t="s">
        <v>33</v>
      </c>
      <c r="I31" t="s">
        <v>16</v>
      </c>
      <c r="R31" t="s">
        <v>28</v>
      </c>
      <c r="Y31" t="s">
        <v>29</v>
      </c>
      <c r="AH31" t="s">
        <v>21</v>
      </c>
      <c r="AM31" t="s">
        <v>16</v>
      </c>
      <c r="AN31">
        <v>58.2</v>
      </c>
      <c r="AV31" t="s">
        <v>29</v>
      </c>
      <c r="AW31">
        <v>58.2</v>
      </c>
      <c r="BD31" t="s">
        <v>33</v>
      </c>
      <c r="BE31">
        <v>58.2</v>
      </c>
      <c r="BL31" t="s">
        <v>21</v>
      </c>
      <c r="BM31">
        <v>58.2</v>
      </c>
    </row>
    <row r="32" spans="2:65" x14ac:dyDescent="0.25">
      <c r="B32" t="s">
        <v>22</v>
      </c>
      <c r="E32" t="s">
        <v>30</v>
      </c>
      <c r="I32" t="s">
        <v>31</v>
      </c>
      <c r="R32" t="s">
        <v>26</v>
      </c>
      <c r="Y32" t="s">
        <v>24</v>
      </c>
      <c r="AH32" t="s">
        <v>25</v>
      </c>
      <c r="AM32" t="s">
        <v>31</v>
      </c>
      <c r="AN32">
        <v>79.2</v>
      </c>
      <c r="AV32" t="s">
        <v>24</v>
      </c>
      <c r="AW32">
        <v>79.2</v>
      </c>
      <c r="BD32" t="s">
        <v>30</v>
      </c>
      <c r="BE32">
        <v>79.2</v>
      </c>
      <c r="BL32" t="s">
        <v>25</v>
      </c>
      <c r="BM32">
        <v>79.2</v>
      </c>
    </row>
    <row r="33" spans="2:65" x14ac:dyDescent="0.25">
      <c r="B33" t="s">
        <v>18</v>
      </c>
      <c r="E33" t="s">
        <v>15</v>
      </c>
      <c r="I33" t="s">
        <v>16</v>
      </c>
      <c r="R33" t="s">
        <v>28</v>
      </c>
      <c r="Y33" t="s">
        <v>24</v>
      </c>
      <c r="AH33" t="s">
        <v>17</v>
      </c>
      <c r="AM33" t="s">
        <v>16</v>
      </c>
      <c r="AN33">
        <v>85.8</v>
      </c>
      <c r="AV33" t="s">
        <v>24</v>
      </c>
      <c r="AW33">
        <v>85.8</v>
      </c>
      <c r="BD33" t="s">
        <v>15</v>
      </c>
      <c r="BE33">
        <v>85.8</v>
      </c>
      <c r="BL33" t="s">
        <v>17</v>
      </c>
      <c r="BM33">
        <v>85.8</v>
      </c>
    </row>
    <row r="34" spans="2:65" x14ac:dyDescent="0.25">
      <c r="B34" t="s">
        <v>22</v>
      </c>
      <c r="E34" t="s">
        <v>30</v>
      </c>
      <c r="I34" t="s">
        <v>16</v>
      </c>
      <c r="R34" t="s">
        <v>23</v>
      </c>
      <c r="Y34" t="s">
        <v>14</v>
      </c>
      <c r="AH34" t="s">
        <v>17</v>
      </c>
      <c r="AM34" t="s">
        <v>16</v>
      </c>
      <c r="AN34">
        <v>65.2</v>
      </c>
      <c r="AV34" t="s">
        <v>14</v>
      </c>
      <c r="AW34">
        <v>65.2</v>
      </c>
      <c r="BD34" t="s">
        <v>30</v>
      </c>
      <c r="BE34">
        <v>65.2</v>
      </c>
      <c r="BL34" t="s">
        <v>17</v>
      </c>
      <c r="BM34">
        <v>65.2</v>
      </c>
    </row>
    <row r="35" spans="2:65" x14ac:dyDescent="0.25">
      <c r="B35" t="s">
        <v>18</v>
      </c>
      <c r="E35" t="s">
        <v>15</v>
      </c>
      <c r="I35" t="s">
        <v>31</v>
      </c>
      <c r="R35" t="s">
        <v>13</v>
      </c>
      <c r="Y35" t="s">
        <v>24</v>
      </c>
      <c r="AH35" t="s">
        <v>25</v>
      </c>
      <c r="AM35" t="s">
        <v>31</v>
      </c>
      <c r="AN35">
        <v>86.8</v>
      </c>
      <c r="AV35" t="s">
        <v>24</v>
      </c>
      <c r="AW35">
        <v>86.8</v>
      </c>
      <c r="BD35" t="s">
        <v>15</v>
      </c>
      <c r="BE35">
        <v>86.8</v>
      </c>
      <c r="BL35" t="s">
        <v>25</v>
      </c>
      <c r="BM35">
        <v>86.8</v>
      </c>
    </row>
    <row r="36" spans="2:65" x14ac:dyDescent="0.25">
      <c r="B36" t="s">
        <v>27</v>
      </c>
      <c r="E36" t="s">
        <v>33</v>
      </c>
      <c r="I36" t="s">
        <v>31</v>
      </c>
      <c r="R36" t="s">
        <v>13</v>
      </c>
      <c r="Y36" t="s">
        <v>29</v>
      </c>
      <c r="AH36" t="s">
        <v>17</v>
      </c>
      <c r="AM36" t="s">
        <v>31</v>
      </c>
      <c r="AN36">
        <v>56.6</v>
      </c>
      <c r="AV36" t="s">
        <v>29</v>
      </c>
      <c r="AW36">
        <v>56.6</v>
      </c>
      <c r="BD36" t="s">
        <v>33</v>
      </c>
      <c r="BE36">
        <v>56.6</v>
      </c>
      <c r="BL36" t="s">
        <v>17</v>
      </c>
      <c r="BM36">
        <v>56.6</v>
      </c>
    </row>
    <row r="37" spans="2:65" x14ac:dyDescent="0.25">
      <c r="B37" t="s">
        <v>22</v>
      </c>
      <c r="E37" t="s">
        <v>32</v>
      </c>
      <c r="I37" t="s">
        <v>16</v>
      </c>
      <c r="R37" t="s">
        <v>28</v>
      </c>
      <c r="Y37" t="s">
        <v>29</v>
      </c>
      <c r="AH37" t="s">
        <v>17</v>
      </c>
      <c r="AM37" t="s">
        <v>16</v>
      </c>
      <c r="AN37">
        <v>79.599999999999994</v>
      </c>
      <c r="AV37" t="s">
        <v>29</v>
      </c>
      <c r="AW37">
        <v>79.599999999999994</v>
      </c>
      <c r="BD37" t="s">
        <v>32</v>
      </c>
      <c r="BE37">
        <v>79.599999999999994</v>
      </c>
      <c r="BL37" t="s">
        <v>17</v>
      </c>
      <c r="BM37">
        <v>79.599999999999994</v>
      </c>
    </row>
    <row r="38" spans="2:65" x14ac:dyDescent="0.25">
      <c r="B38" t="s">
        <v>18</v>
      </c>
      <c r="E38" t="s">
        <v>15</v>
      </c>
      <c r="I38" t="s">
        <v>31</v>
      </c>
      <c r="R38" t="s">
        <v>19</v>
      </c>
      <c r="Y38" t="s">
        <v>29</v>
      </c>
      <c r="AH38" t="s">
        <v>25</v>
      </c>
      <c r="AM38" t="s">
        <v>31</v>
      </c>
      <c r="AN38">
        <v>85.8</v>
      </c>
      <c r="AV38" t="s">
        <v>29</v>
      </c>
      <c r="AW38">
        <v>85.8</v>
      </c>
      <c r="BD38" t="s">
        <v>15</v>
      </c>
      <c r="BE38">
        <v>85.8</v>
      </c>
      <c r="BL38" t="s">
        <v>25</v>
      </c>
      <c r="BM38">
        <v>85.8</v>
      </c>
    </row>
    <row r="39" spans="2:65" x14ac:dyDescent="0.25">
      <c r="B39" t="s">
        <v>18</v>
      </c>
      <c r="E39" t="s">
        <v>15</v>
      </c>
      <c r="I39" t="s">
        <v>16</v>
      </c>
      <c r="R39" t="s">
        <v>19</v>
      </c>
      <c r="Y39" t="s">
        <v>14</v>
      </c>
      <c r="AH39" t="s">
        <v>17</v>
      </c>
      <c r="AM39" t="s">
        <v>16</v>
      </c>
      <c r="AN39">
        <v>87.4</v>
      </c>
      <c r="AV39" t="s">
        <v>14</v>
      </c>
      <c r="AW39">
        <v>87.4</v>
      </c>
      <c r="BD39" t="s">
        <v>15</v>
      </c>
      <c r="BE39">
        <v>87.4</v>
      </c>
      <c r="BL39" t="s">
        <v>17</v>
      </c>
      <c r="BM39">
        <v>87.4</v>
      </c>
    </row>
    <row r="40" spans="2:65" x14ac:dyDescent="0.25">
      <c r="B40" t="s">
        <v>18</v>
      </c>
      <c r="E40" t="s">
        <v>15</v>
      </c>
      <c r="I40" t="s">
        <v>16</v>
      </c>
      <c r="R40" t="s">
        <v>19</v>
      </c>
      <c r="Y40" t="s">
        <v>29</v>
      </c>
      <c r="AH40" t="s">
        <v>25</v>
      </c>
      <c r="AM40" t="s">
        <v>16</v>
      </c>
      <c r="AN40">
        <v>88.6</v>
      </c>
      <c r="AV40" t="s">
        <v>29</v>
      </c>
      <c r="AW40">
        <v>88.6</v>
      </c>
      <c r="BD40" t="s">
        <v>15</v>
      </c>
      <c r="BE40">
        <v>88.6</v>
      </c>
      <c r="BL40" t="s">
        <v>25</v>
      </c>
      <c r="BM40">
        <v>88.6</v>
      </c>
    </row>
    <row r="41" spans="2:65" x14ac:dyDescent="0.25">
      <c r="B41" t="s">
        <v>18</v>
      </c>
      <c r="E41" t="s">
        <v>32</v>
      </c>
      <c r="I41" t="s">
        <v>31</v>
      </c>
      <c r="R41" t="s">
        <v>13</v>
      </c>
      <c r="Y41" t="s">
        <v>14</v>
      </c>
      <c r="AH41" t="s">
        <v>25</v>
      </c>
      <c r="AM41" t="s">
        <v>31</v>
      </c>
      <c r="AN41">
        <v>85.8</v>
      </c>
      <c r="AV41" t="s">
        <v>14</v>
      </c>
      <c r="AW41">
        <v>85.8</v>
      </c>
      <c r="BD41" t="s">
        <v>32</v>
      </c>
      <c r="BE41">
        <v>85.8</v>
      </c>
      <c r="BL41" t="s">
        <v>25</v>
      </c>
      <c r="BM41">
        <v>85.8</v>
      </c>
    </row>
    <row r="42" spans="2:65" x14ac:dyDescent="0.25">
      <c r="B42" t="s">
        <v>22</v>
      </c>
      <c r="E42" t="s">
        <v>15</v>
      </c>
      <c r="I42" t="s">
        <v>31</v>
      </c>
      <c r="R42" t="s">
        <v>28</v>
      </c>
      <c r="Y42" t="s">
        <v>24</v>
      </c>
      <c r="AH42" t="s">
        <v>17</v>
      </c>
      <c r="AM42" t="s">
        <v>31</v>
      </c>
      <c r="AN42">
        <v>79.400000000000006</v>
      </c>
      <c r="AV42" t="s">
        <v>24</v>
      </c>
      <c r="AW42">
        <v>79.400000000000006</v>
      </c>
      <c r="BD42" t="s">
        <v>15</v>
      </c>
      <c r="BE42">
        <v>79.400000000000006</v>
      </c>
      <c r="BL42" t="s">
        <v>17</v>
      </c>
      <c r="BM42">
        <v>79.400000000000006</v>
      </c>
    </row>
    <row r="43" spans="2:65" x14ac:dyDescent="0.25">
      <c r="B43" t="s">
        <v>22</v>
      </c>
      <c r="E43" t="s">
        <v>20</v>
      </c>
      <c r="I43" t="s">
        <v>31</v>
      </c>
      <c r="R43" t="s">
        <v>26</v>
      </c>
      <c r="Y43" t="s">
        <v>24</v>
      </c>
      <c r="AH43" t="s">
        <v>21</v>
      </c>
      <c r="AM43" t="s">
        <v>31</v>
      </c>
      <c r="AN43">
        <v>71.400000000000006</v>
      </c>
      <c r="AV43" t="s">
        <v>24</v>
      </c>
      <c r="AW43">
        <v>71.400000000000006</v>
      </c>
      <c r="BD43" t="s">
        <v>20</v>
      </c>
      <c r="BE43">
        <v>71.400000000000006</v>
      </c>
      <c r="BL43" t="s">
        <v>21</v>
      </c>
      <c r="BM43">
        <v>71.400000000000006</v>
      </c>
    </row>
    <row r="44" spans="2:65" x14ac:dyDescent="0.25">
      <c r="B44" t="s">
        <v>18</v>
      </c>
      <c r="E44" t="s">
        <v>15</v>
      </c>
      <c r="I44" t="s">
        <v>31</v>
      </c>
      <c r="R44" t="s">
        <v>26</v>
      </c>
      <c r="Y44" t="s">
        <v>24</v>
      </c>
      <c r="AH44" t="s">
        <v>21</v>
      </c>
      <c r="AM44" t="s">
        <v>31</v>
      </c>
      <c r="AN44">
        <v>88</v>
      </c>
      <c r="AV44" t="s">
        <v>24</v>
      </c>
      <c r="AW44">
        <v>88</v>
      </c>
      <c r="BD44" t="s">
        <v>15</v>
      </c>
      <c r="BE44">
        <v>88</v>
      </c>
      <c r="BL44" t="s">
        <v>21</v>
      </c>
      <c r="BM44">
        <v>88</v>
      </c>
    </row>
    <row r="45" spans="2:65" x14ac:dyDescent="0.25">
      <c r="B45" t="s">
        <v>27</v>
      </c>
      <c r="E45" t="s">
        <v>33</v>
      </c>
      <c r="I45" t="s">
        <v>31</v>
      </c>
      <c r="R45" t="s">
        <v>23</v>
      </c>
      <c r="Y45" t="s">
        <v>14</v>
      </c>
      <c r="AH45" t="s">
        <v>25</v>
      </c>
      <c r="AM45" t="s">
        <v>31</v>
      </c>
      <c r="AN45">
        <v>50</v>
      </c>
      <c r="AV45" t="s">
        <v>14</v>
      </c>
      <c r="AW45">
        <v>50</v>
      </c>
      <c r="BD45" t="s">
        <v>33</v>
      </c>
      <c r="BE45">
        <v>50</v>
      </c>
      <c r="BL45" t="s">
        <v>25</v>
      </c>
      <c r="BM45">
        <v>50</v>
      </c>
    </row>
    <row r="46" spans="2:65" x14ac:dyDescent="0.25">
      <c r="B46" t="s">
        <v>18</v>
      </c>
      <c r="E46" t="s">
        <v>30</v>
      </c>
      <c r="I46" t="s">
        <v>16</v>
      </c>
      <c r="R46" t="s">
        <v>28</v>
      </c>
      <c r="Y46" t="s">
        <v>14</v>
      </c>
      <c r="AH46" t="s">
        <v>21</v>
      </c>
      <c r="AM46" t="s">
        <v>16</v>
      </c>
      <c r="AN46">
        <v>86.4</v>
      </c>
      <c r="AV46" t="s">
        <v>14</v>
      </c>
      <c r="AW46">
        <v>86.4</v>
      </c>
      <c r="BD46" t="s">
        <v>30</v>
      </c>
      <c r="BE46">
        <v>86.4</v>
      </c>
      <c r="BL46" t="s">
        <v>21</v>
      </c>
      <c r="BM46">
        <v>86.4</v>
      </c>
    </row>
    <row r="47" spans="2:65" x14ac:dyDescent="0.25">
      <c r="B47" t="s">
        <v>22</v>
      </c>
      <c r="E47" t="s">
        <v>30</v>
      </c>
      <c r="I47" t="s">
        <v>16</v>
      </c>
      <c r="R47" t="s">
        <v>23</v>
      </c>
      <c r="Y47" t="s">
        <v>14</v>
      </c>
      <c r="AH47" t="s">
        <v>25</v>
      </c>
      <c r="AM47" t="s">
        <v>16</v>
      </c>
      <c r="AN47">
        <v>75</v>
      </c>
      <c r="AV47" t="s">
        <v>14</v>
      </c>
      <c r="AW47">
        <v>75</v>
      </c>
      <c r="BD47" t="s">
        <v>30</v>
      </c>
      <c r="BE47">
        <v>75</v>
      </c>
      <c r="BL47" t="s">
        <v>25</v>
      </c>
      <c r="BM47">
        <v>75</v>
      </c>
    </row>
    <row r="48" spans="2:65" x14ac:dyDescent="0.25">
      <c r="B48" t="s">
        <v>27</v>
      </c>
      <c r="E48" t="s">
        <v>33</v>
      </c>
      <c r="I48" t="s">
        <v>16</v>
      </c>
      <c r="R48" t="s">
        <v>13</v>
      </c>
      <c r="Y48" t="s">
        <v>14</v>
      </c>
      <c r="AH48" t="s">
        <v>25</v>
      </c>
      <c r="AM48" t="s">
        <v>16</v>
      </c>
      <c r="AN48">
        <v>45</v>
      </c>
      <c r="AV48" t="s">
        <v>14</v>
      </c>
      <c r="AW48">
        <v>45</v>
      </c>
      <c r="BD48" t="s">
        <v>33</v>
      </c>
      <c r="BE48">
        <v>45</v>
      </c>
      <c r="BL48" t="s">
        <v>25</v>
      </c>
      <c r="BM48">
        <v>45</v>
      </c>
    </row>
    <row r="49" spans="2:65" x14ac:dyDescent="0.25">
      <c r="B49" t="s">
        <v>18</v>
      </c>
      <c r="E49" t="s">
        <v>32</v>
      </c>
      <c r="I49" t="s">
        <v>16</v>
      </c>
      <c r="R49" t="s">
        <v>23</v>
      </c>
      <c r="Y49" t="s">
        <v>24</v>
      </c>
      <c r="AH49" t="s">
        <v>21</v>
      </c>
      <c r="AM49" t="s">
        <v>16</v>
      </c>
      <c r="AN49">
        <v>92</v>
      </c>
      <c r="AV49" t="s">
        <v>24</v>
      </c>
      <c r="AW49">
        <v>92</v>
      </c>
      <c r="BD49" t="s">
        <v>32</v>
      </c>
      <c r="BE49">
        <v>92</v>
      </c>
      <c r="BL49" t="s">
        <v>21</v>
      </c>
      <c r="BM49">
        <v>92</v>
      </c>
    </row>
    <row r="50" spans="2:65" x14ac:dyDescent="0.25">
      <c r="B50" t="s">
        <v>22</v>
      </c>
      <c r="E50" t="s">
        <v>20</v>
      </c>
      <c r="I50" t="s">
        <v>31</v>
      </c>
      <c r="R50" t="s">
        <v>26</v>
      </c>
      <c r="Y50" t="s">
        <v>29</v>
      </c>
      <c r="AH50" t="s">
        <v>25</v>
      </c>
      <c r="AM50" t="s">
        <v>31</v>
      </c>
      <c r="AN50">
        <v>61.6</v>
      </c>
      <c r="AV50" t="s">
        <v>29</v>
      </c>
      <c r="AW50">
        <v>61.6</v>
      </c>
      <c r="BD50" t="s">
        <v>20</v>
      </c>
      <c r="BE50">
        <v>61.6</v>
      </c>
      <c r="BL50" t="s">
        <v>25</v>
      </c>
      <c r="BM50">
        <v>61.6</v>
      </c>
    </row>
    <row r="51" spans="2:65" x14ac:dyDescent="0.25">
      <c r="B51" t="s">
        <v>22</v>
      </c>
      <c r="E51" t="s">
        <v>32</v>
      </c>
      <c r="I51" t="s">
        <v>16</v>
      </c>
      <c r="R51" t="s">
        <v>26</v>
      </c>
      <c r="Y51" t="s">
        <v>14</v>
      </c>
      <c r="AH51" t="s">
        <v>17</v>
      </c>
      <c r="AM51" t="s">
        <v>16</v>
      </c>
      <c r="AN51">
        <v>76.400000000000006</v>
      </c>
      <c r="AV51" t="s">
        <v>14</v>
      </c>
      <c r="AW51">
        <v>76.400000000000006</v>
      </c>
      <c r="BD51" t="s">
        <v>32</v>
      </c>
      <c r="BE51">
        <v>76.400000000000006</v>
      </c>
      <c r="BL51" t="s">
        <v>17</v>
      </c>
      <c r="BM51">
        <v>76.400000000000006</v>
      </c>
    </row>
    <row r="52" spans="2:65" x14ac:dyDescent="0.25">
      <c r="B52" t="s">
        <v>22</v>
      </c>
      <c r="E52" t="s">
        <v>20</v>
      </c>
      <c r="I52" t="s">
        <v>31</v>
      </c>
      <c r="R52" t="s">
        <v>13</v>
      </c>
      <c r="Y52" t="s">
        <v>14</v>
      </c>
      <c r="AH52" t="s">
        <v>21</v>
      </c>
      <c r="AM52" t="s">
        <v>31</v>
      </c>
      <c r="AN52">
        <v>64.8</v>
      </c>
      <c r="AV52" t="s">
        <v>14</v>
      </c>
      <c r="AW52">
        <v>64.8</v>
      </c>
      <c r="BD52" t="s">
        <v>20</v>
      </c>
      <c r="BE52">
        <v>64.8</v>
      </c>
      <c r="BL52" t="s">
        <v>21</v>
      </c>
      <c r="BM52">
        <v>64.8</v>
      </c>
    </row>
    <row r="53" spans="2:65" x14ac:dyDescent="0.25">
      <c r="B53" t="s">
        <v>18</v>
      </c>
      <c r="E53" t="s">
        <v>32</v>
      </c>
      <c r="I53" t="s">
        <v>31</v>
      </c>
      <c r="R53" t="s">
        <v>28</v>
      </c>
      <c r="Y53" t="s">
        <v>24</v>
      </c>
      <c r="AH53" t="s">
        <v>21</v>
      </c>
      <c r="AM53" t="s">
        <v>31</v>
      </c>
      <c r="AN53">
        <v>84.8</v>
      </c>
      <c r="AV53" t="s">
        <v>24</v>
      </c>
      <c r="AW53">
        <v>84.8</v>
      </c>
      <c r="BD53" t="s">
        <v>32</v>
      </c>
      <c r="BE53">
        <v>84.8</v>
      </c>
      <c r="BL53" t="s">
        <v>21</v>
      </c>
      <c r="BM53">
        <v>84.8</v>
      </c>
    </row>
    <row r="54" spans="2:65" x14ac:dyDescent="0.25">
      <c r="B54" t="s">
        <v>18</v>
      </c>
      <c r="E54" t="s">
        <v>32</v>
      </c>
      <c r="I54" t="s">
        <v>31</v>
      </c>
      <c r="R54" t="s">
        <v>19</v>
      </c>
      <c r="Y54" t="s">
        <v>29</v>
      </c>
      <c r="AH54" t="s">
        <v>25</v>
      </c>
      <c r="AM54" t="s">
        <v>31</v>
      </c>
      <c r="AN54">
        <v>83.4</v>
      </c>
      <c r="AV54" t="s">
        <v>29</v>
      </c>
      <c r="AW54">
        <v>83.4</v>
      </c>
      <c r="BD54" t="s">
        <v>32</v>
      </c>
      <c r="BE54">
        <v>83.4</v>
      </c>
      <c r="BL54" t="s">
        <v>25</v>
      </c>
      <c r="BM54">
        <v>83.4</v>
      </c>
    </row>
    <row r="55" spans="2:65" x14ac:dyDescent="0.25">
      <c r="B55" t="s">
        <v>18</v>
      </c>
      <c r="E55" t="s">
        <v>32</v>
      </c>
      <c r="I55" t="s">
        <v>31</v>
      </c>
      <c r="R55" t="s">
        <v>26</v>
      </c>
      <c r="Y55" t="s">
        <v>29</v>
      </c>
      <c r="AH55" t="s">
        <v>21</v>
      </c>
      <c r="AM55" t="s">
        <v>31</v>
      </c>
      <c r="AN55">
        <v>90.4</v>
      </c>
      <c r="AV55" t="s">
        <v>29</v>
      </c>
      <c r="AW55">
        <v>90.4</v>
      </c>
      <c r="BD55" t="s">
        <v>32</v>
      </c>
      <c r="BE55">
        <v>90.4</v>
      </c>
      <c r="BL55" t="s">
        <v>21</v>
      </c>
      <c r="BM55">
        <v>90.4</v>
      </c>
    </row>
    <row r="56" spans="2:65" x14ac:dyDescent="0.25">
      <c r="B56" t="s">
        <v>22</v>
      </c>
      <c r="E56" t="s">
        <v>20</v>
      </c>
      <c r="I56" t="s">
        <v>31</v>
      </c>
      <c r="R56" t="s">
        <v>28</v>
      </c>
      <c r="Y56" t="s">
        <v>14</v>
      </c>
      <c r="AH56" t="s">
        <v>21</v>
      </c>
      <c r="AM56" t="s">
        <v>31</v>
      </c>
      <c r="AN56">
        <v>65.2</v>
      </c>
      <c r="AV56" t="s">
        <v>14</v>
      </c>
      <c r="AW56">
        <v>65.2</v>
      </c>
      <c r="BD56" t="s">
        <v>20</v>
      </c>
      <c r="BE56">
        <v>65.2</v>
      </c>
      <c r="BL56" t="s">
        <v>21</v>
      </c>
      <c r="BM56">
        <v>65.2</v>
      </c>
    </row>
    <row r="57" spans="2:65" x14ac:dyDescent="0.25">
      <c r="B57" t="s">
        <v>27</v>
      </c>
      <c r="E57" t="s">
        <v>33</v>
      </c>
      <c r="I57" t="s">
        <v>31</v>
      </c>
      <c r="R57" t="s">
        <v>28</v>
      </c>
      <c r="Y57" t="s">
        <v>14</v>
      </c>
      <c r="AH57" t="s">
        <v>21</v>
      </c>
      <c r="AM57" t="s">
        <v>31</v>
      </c>
      <c r="AN57">
        <v>55</v>
      </c>
      <c r="AV57" t="s">
        <v>14</v>
      </c>
      <c r="AW57">
        <v>55</v>
      </c>
      <c r="BD57" t="s">
        <v>33</v>
      </c>
      <c r="BE57">
        <v>55</v>
      </c>
      <c r="BL57" t="s">
        <v>21</v>
      </c>
      <c r="BM57">
        <v>55</v>
      </c>
    </row>
    <row r="58" spans="2:65" x14ac:dyDescent="0.25">
      <c r="B58" t="s">
        <v>18</v>
      </c>
      <c r="E58" t="s">
        <v>15</v>
      </c>
      <c r="I58" t="s">
        <v>16</v>
      </c>
      <c r="R58" t="s">
        <v>13</v>
      </c>
      <c r="Y58" t="s">
        <v>24</v>
      </c>
      <c r="AH58" t="s">
        <v>25</v>
      </c>
      <c r="AM58" t="s">
        <v>16</v>
      </c>
      <c r="AN58">
        <v>87.2</v>
      </c>
      <c r="AV58" t="s">
        <v>24</v>
      </c>
      <c r="AW58">
        <v>87.2</v>
      </c>
      <c r="BD58" t="s">
        <v>15</v>
      </c>
      <c r="BE58">
        <v>87.2</v>
      </c>
      <c r="BL58" t="s">
        <v>25</v>
      </c>
      <c r="BM58">
        <v>87.2</v>
      </c>
    </row>
    <row r="59" spans="2:65" x14ac:dyDescent="0.25">
      <c r="B59" t="s">
        <v>22</v>
      </c>
      <c r="E59" t="s">
        <v>20</v>
      </c>
      <c r="I59" t="s">
        <v>16</v>
      </c>
      <c r="R59" t="s">
        <v>23</v>
      </c>
      <c r="Y59" t="s">
        <v>29</v>
      </c>
      <c r="AH59" t="s">
        <v>21</v>
      </c>
      <c r="AM59" t="s">
        <v>16</v>
      </c>
      <c r="AN59">
        <v>67.599999999999994</v>
      </c>
      <c r="AV59" t="s">
        <v>29</v>
      </c>
      <c r="AW59">
        <v>67.599999999999994</v>
      </c>
      <c r="BD59" t="s">
        <v>20</v>
      </c>
      <c r="BE59">
        <v>67.599999999999994</v>
      </c>
      <c r="BL59" t="s">
        <v>21</v>
      </c>
      <c r="BM59">
        <v>67.599999999999994</v>
      </c>
    </row>
    <row r="60" spans="2:65" x14ac:dyDescent="0.25">
      <c r="B60" t="s">
        <v>22</v>
      </c>
      <c r="E60" t="s">
        <v>30</v>
      </c>
      <c r="I60" t="s">
        <v>16</v>
      </c>
      <c r="R60" t="s">
        <v>23</v>
      </c>
      <c r="Y60" t="s">
        <v>14</v>
      </c>
      <c r="AH60" t="s">
        <v>25</v>
      </c>
      <c r="AM60" t="s">
        <v>16</v>
      </c>
      <c r="AN60">
        <v>75.8</v>
      </c>
      <c r="AV60" t="s">
        <v>14</v>
      </c>
      <c r="AW60">
        <v>75.8</v>
      </c>
      <c r="BD60" t="s">
        <v>30</v>
      </c>
      <c r="BE60">
        <v>75.8</v>
      </c>
      <c r="BL60" t="s">
        <v>25</v>
      </c>
      <c r="BM60">
        <v>75.8</v>
      </c>
    </row>
    <row r="61" spans="2:65" x14ac:dyDescent="0.25">
      <c r="B61" t="s">
        <v>22</v>
      </c>
      <c r="E61" t="s">
        <v>20</v>
      </c>
      <c r="I61" t="s">
        <v>16</v>
      </c>
      <c r="R61" t="s">
        <v>26</v>
      </c>
      <c r="Y61" t="s">
        <v>24</v>
      </c>
      <c r="AH61" t="s">
        <v>17</v>
      </c>
      <c r="AM61" t="s">
        <v>16</v>
      </c>
      <c r="AN61">
        <v>66.400000000000006</v>
      </c>
      <c r="AV61" t="s">
        <v>24</v>
      </c>
      <c r="AW61">
        <v>66.400000000000006</v>
      </c>
      <c r="BD61" t="s">
        <v>20</v>
      </c>
      <c r="BE61">
        <v>66.400000000000006</v>
      </c>
      <c r="BL61" t="s">
        <v>17</v>
      </c>
      <c r="BM61">
        <v>66.400000000000006</v>
      </c>
    </row>
    <row r="62" spans="2:65" x14ac:dyDescent="0.25">
      <c r="B62" t="s">
        <v>18</v>
      </c>
      <c r="E62" t="s">
        <v>15</v>
      </c>
      <c r="I62" t="s">
        <v>31</v>
      </c>
      <c r="R62" t="s">
        <v>19</v>
      </c>
      <c r="Y62" t="s">
        <v>14</v>
      </c>
      <c r="AH62" t="s">
        <v>17</v>
      </c>
      <c r="AM62" t="s">
        <v>31</v>
      </c>
      <c r="AN62">
        <v>85</v>
      </c>
      <c r="AV62" t="s">
        <v>14</v>
      </c>
      <c r="AW62">
        <v>85</v>
      </c>
      <c r="BD62" t="s">
        <v>15</v>
      </c>
      <c r="BE62">
        <v>85</v>
      </c>
      <c r="BL62" t="s">
        <v>17</v>
      </c>
      <c r="BM62">
        <v>85</v>
      </c>
    </row>
    <row r="63" spans="2:65" x14ac:dyDescent="0.25">
      <c r="B63" t="s">
        <v>27</v>
      </c>
      <c r="E63" t="s">
        <v>30</v>
      </c>
      <c r="I63" t="s">
        <v>16</v>
      </c>
      <c r="R63" t="s">
        <v>19</v>
      </c>
      <c r="Y63" t="s">
        <v>14</v>
      </c>
      <c r="AH63" t="s">
        <v>17</v>
      </c>
      <c r="AM63" t="s">
        <v>16</v>
      </c>
      <c r="AN63">
        <v>57.8</v>
      </c>
      <c r="AV63" t="s">
        <v>14</v>
      </c>
      <c r="AW63">
        <v>57.8</v>
      </c>
      <c r="BD63" t="s">
        <v>30</v>
      </c>
      <c r="BE63">
        <v>57.8</v>
      </c>
      <c r="BL63" t="s">
        <v>17</v>
      </c>
      <c r="BM63">
        <v>57.8</v>
      </c>
    </row>
    <row r="64" spans="2:65" x14ac:dyDescent="0.25">
      <c r="B64" t="s">
        <v>27</v>
      </c>
      <c r="E64" t="s">
        <v>33</v>
      </c>
      <c r="I64" t="s">
        <v>16</v>
      </c>
      <c r="R64" t="s">
        <v>13</v>
      </c>
      <c r="Y64" t="s">
        <v>24</v>
      </c>
      <c r="AH64" t="s">
        <v>17</v>
      </c>
      <c r="AM64" t="s">
        <v>16</v>
      </c>
      <c r="AN64">
        <v>52.6</v>
      </c>
      <c r="AV64" t="s">
        <v>24</v>
      </c>
      <c r="AW64">
        <v>52.6</v>
      </c>
      <c r="BD64" t="s">
        <v>33</v>
      </c>
      <c r="BE64">
        <v>52.6</v>
      </c>
      <c r="BL64" t="s">
        <v>17</v>
      </c>
      <c r="BM64">
        <v>52.6</v>
      </c>
    </row>
    <row r="65" spans="2:65" x14ac:dyDescent="0.25">
      <c r="B65" t="s">
        <v>18</v>
      </c>
      <c r="E65" t="s">
        <v>15</v>
      </c>
      <c r="I65" t="s">
        <v>31</v>
      </c>
      <c r="R65" t="s">
        <v>13</v>
      </c>
      <c r="Y65" t="s">
        <v>29</v>
      </c>
      <c r="AH65" t="s">
        <v>21</v>
      </c>
      <c r="AM65" t="s">
        <v>31</v>
      </c>
      <c r="AN65">
        <v>87.2</v>
      </c>
      <c r="AV65" t="s">
        <v>29</v>
      </c>
      <c r="AW65">
        <v>87.2</v>
      </c>
      <c r="BD65" t="s">
        <v>15</v>
      </c>
      <c r="BE65">
        <v>87.2</v>
      </c>
      <c r="BL65" t="s">
        <v>21</v>
      </c>
      <c r="BM65">
        <v>87.2</v>
      </c>
    </row>
    <row r="66" spans="2:65" x14ac:dyDescent="0.25">
      <c r="B66" t="s">
        <v>27</v>
      </c>
      <c r="E66" t="s">
        <v>33</v>
      </c>
      <c r="I66" t="s">
        <v>31</v>
      </c>
      <c r="R66" t="s">
        <v>23</v>
      </c>
      <c r="Y66" t="s">
        <v>14</v>
      </c>
      <c r="AH66" t="s">
        <v>25</v>
      </c>
      <c r="AM66" t="s">
        <v>31</v>
      </c>
      <c r="AN66">
        <v>49</v>
      </c>
      <c r="AV66" t="s">
        <v>14</v>
      </c>
      <c r="AW66">
        <v>49</v>
      </c>
      <c r="BD66" t="s">
        <v>33</v>
      </c>
      <c r="BE66">
        <v>49</v>
      </c>
      <c r="BL66" t="s">
        <v>25</v>
      </c>
      <c r="BM66">
        <v>49</v>
      </c>
    </row>
    <row r="67" spans="2:65" x14ac:dyDescent="0.25">
      <c r="B67" t="s">
        <v>18</v>
      </c>
      <c r="E67" t="s">
        <v>32</v>
      </c>
      <c r="I67" t="s">
        <v>31</v>
      </c>
      <c r="R67" t="s">
        <v>13</v>
      </c>
      <c r="Y67" t="s">
        <v>14</v>
      </c>
      <c r="AH67" t="s">
        <v>25</v>
      </c>
      <c r="AM67" t="s">
        <v>31</v>
      </c>
      <c r="AN67">
        <v>82.8</v>
      </c>
      <c r="AV67" t="s">
        <v>14</v>
      </c>
      <c r="AW67">
        <v>82.8</v>
      </c>
      <c r="BD67" t="s">
        <v>32</v>
      </c>
      <c r="BE67">
        <v>82.8</v>
      </c>
      <c r="BL67" t="s">
        <v>25</v>
      </c>
      <c r="BM67">
        <v>82.8</v>
      </c>
    </row>
    <row r="68" spans="2:65" x14ac:dyDescent="0.25">
      <c r="B68" t="s">
        <v>22</v>
      </c>
      <c r="E68" t="s">
        <v>20</v>
      </c>
      <c r="I68" t="s">
        <v>31</v>
      </c>
      <c r="R68" t="s">
        <v>23</v>
      </c>
      <c r="Y68" t="s">
        <v>24</v>
      </c>
      <c r="AH68" t="s">
        <v>21</v>
      </c>
      <c r="AM68" t="s">
        <v>31</v>
      </c>
      <c r="AN68">
        <v>71.599999999999994</v>
      </c>
      <c r="AV68" t="s">
        <v>24</v>
      </c>
      <c r="AW68">
        <v>71.599999999999994</v>
      </c>
      <c r="BD68" t="s">
        <v>20</v>
      </c>
      <c r="BE68">
        <v>71.599999999999994</v>
      </c>
      <c r="BL68" t="s">
        <v>21</v>
      </c>
      <c r="BM68">
        <v>71.599999999999994</v>
      </c>
    </row>
    <row r="69" spans="2:65" x14ac:dyDescent="0.25">
      <c r="B69" t="s">
        <v>22</v>
      </c>
      <c r="E69" t="s">
        <v>30</v>
      </c>
      <c r="I69" t="s">
        <v>31</v>
      </c>
      <c r="R69" t="s">
        <v>28</v>
      </c>
      <c r="Y69" t="s">
        <v>14</v>
      </c>
      <c r="AH69" t="s">
        <v>17</v>
      </c>
      <c r="AM69" t="s">
        <v>31</v>
      </c>
      <c r="AN69">
        <v>70.2</v>
      </c>
      <c r="AV69" t="s">
        <v>14</v>
      </c>
      <c r="AW69">
        <v>70.2</v>
      </c>
      <c r="BD69" t="s">
        <v>30</v>
      </c>
      <c r="BE69">
        <v>70.2</v>
      </c>
      <c r="BL69" t="s">
        <v>17</v>
      </c>
      <c r="BM69">
        <v>70.2</v>
      </c>
    </row>
    <row r="70" spans="2:65" x14ac:dyDescent="0.25">
      <c r="B70" t="s">
        <v>27</v>
      </c>
      <c r="E70" t="s">
        <v>33</v>
      </c>
      <c r="I70" t="s">
        <v>31</v>
      </c>
      <c r="R70" t="s">
        <v>13</v>
      </c>
      <c r="Y70" t="s">
        <v>29</v>
      </c>
      <c r="AH70" t="s">
        <v>21</v>
      </c>
      <c r="AM70" t="s">
        <v>31</v>
      </c>
      <c r="AN70">
        <v>56.4</v>
      </c>
      <c r="AV70" t="s">
        <v>29</v>
      </c>
      <c r="AW70">
        <v>56.4</v>
      </c>
      <c r="BD70" t="s">
        <v>33</v>
      </c>
      <c r="BE70">
        <v>56.4</v>
      </c>
      <c r="BL70" t="s">
        <v>21</v>
      </c>
      <c r="BM70">
        <v>56.4</v>
      </c>
    </row>
    <row r="71" spans="2:65" x14ac:dyDescent="0.25">
      <c r="B71" t="s">
        <v>22</v>
      </c>
      <c r="E71" t="s">
        <v>20</v>
      </c>
      <c r="I71" t="s">
        <v>31</v>
      </c>
      <c r="R71" t="s">
        <v>28</v>
      </c>
      <c r="Y71" t="s">
        <v>24</v>
      </c>
      <c r="AH71" t="s">
        <v>25</v>
      </c>
      <c r="AM71" t="s">
        <v>31</v>
      </c>
      <c r="AN71">
        <v>69.599999999999994</v>
      </c>
      <c r="AV71" t="s">
        <v>24</v>
      </c>
      <c r="AW71">
        <v>69.599999999999994</v>
      </c>
      <c r="BD71" t="s">
        <v>20</v>
      </c>
      <c r="BE71">
        <v>69.599999999999994</v>
      </c>
      <c r="BL71" t="s">
        <v>25</v>
      </c>
      <c r="BM71">
        <v>69.599999999999994</v>
      </c>
    </row>
    <row r="72" spans="2:65" x14ac:dyDescent="0.25">
      <c r="B72" t="s">
        <v>22</v>
      </c>
      <c r="E72" t="s">
        <v>20</v>
      </c>
      <c r="I72" t="s">
        <v>16</v>
      </c>
      <c r="R72" t="s">
        <v>28</v>
      </c>
      <c r="Y72" t="s">
        <v>29</v>
      </c>
      <c r="AH72" t="s">
        <v>21</v>
      </c>
      <c r="AM72" t="s">
        <v>16</v>
      </c>
      <c r="AN72">
        <v>64.599999999999994</v>
      </c>
      <c r="AV72" t="s">
        <v>29</v>
      </c>
      <c r="AW72">
        <v>64.599999999999994</v>
      </c>
      <c r="BD72" t="s">
        <v>20</v>
      </c>
      <c r="BE72">
        <v>64.599999999999994</v>
      </c>
      <c r="BL72" t="s">
        <v>21</v>
      </c>
      <c r="BM72">
        <v>64.599999999999994</v>
      </c>
    </row>
    <row r="73" spans="2:65" x14ac:dyDescent="0.25">
      <c r="B73" t="s">
        <v>18</v>
      </c>
      <c r="E73" t="s">
        <v>32</v>
      </c>
      <c r="I73" t="s">
        <v>31</v>
      </c>
      <c r="R73" t="s">
        <v>19</v>
      </c>
      <c r="Y73" t="s">
        <v>24</v>
      </c>
      <c r="AH73" t="s">
        <v>25</v>
      </c>
      <c r="AM73" t="s">
        <v>31</v>
      </c>
      <c r="AN73">
        <v>83.4</v>
      </c>
      <c r="AV73" t="s">
        <v>24</v>
      </c>
      <c r="AW73">
        <v>83.4</v>
      </c>
      <c r="BD73" t="s">
        <v>32</v>
      </c>
      <c r="BE73">
        <v>83.4</v>
      </c>
      <c r="BL73" t="s">
        <v>25</v>
      </c>
      <c r="BM73">
        <v>83.4</v>
      </c>
    </row>
    <row r="74" spans="2:65" x14ac:dyDescent="0.25">
      <c r="B74" t="s">
        <v>22</v>
      </c>
      <c r="E74" t="s">
        <v>30</v>
      </c>
      <c r="I74" t="s">
        <v>31</v>
      </c>
      <c r="R74" t="s">
        <v>28</v>
      </c>
      <c r="Y74" t="s">
        <v>29</v>
      </c>
      <c r="AH74" t="s">
        <v>21</v>
      </c>
      <c r="AM74" t="s">
        <v>31</v>
      </c>
      <c r="AN74">
        <v>67.599999999999994</v>
      </c>
      <c r="AV74" t="s">
        <v>29</v>
      </c>
      <c r="AW74">
        <v>67.599999999999994</v>
      </c>
      <c r="BD74" t="s">
        <v>30</v>
      </c>
      <c r="BE74">
        <v>67.599999999999994</v>
      </c>
      <c r="BL74" t="s">
        <v>21</v>
      </c>
      <c r="BM74">
        <v>67.599999999999994</v>
      </c>
    </row>
    <row r="75" spans="2:65" x14ac:dyDescent="0.25">
      <c r="B75" t="s">
        <v>18</v>
      </c>
      <c r="E75" t="s">
        <v>15</v>
      </c>
      <c r="I75" t="s">
        <v>31</v>
      </c>
      <c r="R75" t="s">
        <v>19</v>
      </c>
      <c r="Y75" t="s">
        <v>24</v>
      </c>
      <c r="AH75" t="s">
        <v>21</v>
      </c>
      <c r="AM75" t="s">
        <v>31</v>
      </c>
      <c r="AN75">
        <v>90.2</v>
      </c>
      <c r="AV75" t="s">
        <v>24</v>
      </c>
      <c r="AW75">
        <v>90.2</v>
      </c>
      <c r="BD75" t="s">
        <v>15</v>
      </c>
      <c r="BE75">
        <v>90.2</v>
      </c>
      <c r="BL75" t="s">
        <v>21</v>
      </c>
      <c r="BM75">
        <v>90.2</v>
      </c>
    </row>
    <row r="76" spans="2:65" x14ac:dyDescent="0.25">
      <c r="B76" t="s">
        <v>18</v>
      </c>
      <c r="E76" t="s">
        <v>15</v>
      </c>
      <c r="I76" t="s">
        <v>16</v>
      </c>
      <c r="R76" t="s">
        <v>23</v>
      </c>
      <c r="Y76" t="s">
        <v>29</v>
      </c>
      <c r="AH76" t="s">
        <v>17</v>
      </c>
      <c r="AM76" t="s">
        <v>16</v>
      </c>
      <c r="AN76">
        <v>83.8</v>
      </c>
      <c r="AV76" t="s">
        <v>29</v>
      </c>
      <c r="AW76">
        <v>83.8</v>
      </c>
      <c r="BD76" t="s">
        <v>15</v>
      </c>
      <c r="BE76">
        <v>83.8</v>
      </c>
      <c r="BL76" t="s">
        <v>17</v>
      </c>
      <c r="BM76">
        <v>83.8</v>
      </c>
    </row>
    <row r="77" spans="2:65" x14ac:dyDescent="0.25">
      <c r="B77" t="s">
        <v>22</v>
      </c>
      <c r="E77" t="s">
        <v>20</v>
      </c>
      <c r="I77" t="s">
        <v>16</v>
      </c>
      <c r="R77" t="s">
        <v>13</v>
      </c>
      <c r="Y77" t="s">
        <v>14</v>
      </c>
      <c r="AH77" t="s">
        <v>25</v>
      </c>
      <c r="AM77" t="s">
        <v>16</v>
      </c>
      <c r="AN77">
        <v>71.2</v>
      </c>
      <c r="AV77" t="s">
        <v>14</v>
      </c>
      <c r="AW77">
        <v>71.2</v>
      </c>
      <c r="BD77" t="s">
        <v>20</v>
      </c>
      <c r="BE77">
        <v>71.2</v>
      </c>
      <c r="BL77" t="s">
        <v>25</v>
      </c>
      <c r="BM77">
        <v>71.2</v>
      </c>
    </row>
    <row r="78" spans="2:65" x14ac:dyDescent="0.25">
      <c r="B78" t="s">
        <v>22</v>
      </c>
      <c r="E78" t="s">
        <v>32</v>
      </c>
      <c r="I78" t="s">
        <v>31</v>
      </c>
      <c r="R78" t="s">
        <v>23</v>
      </c>
      <c r="Y78" t="s">
        <v>14</v>
      </c>
      <c r="AH78" t="s">
        <v>17</v>
      </c>
      <c r="AM78" t="s">
        <v>31</v>
      </c>
      <c r="AN78">
        <v>73.400000000000006</v>
      </c>
      <c r="AV78" t="s">
        <v>14</v>
      </c>
      <c r="AW78">
        <v>73.400000000000006</v>
      </c>
      <c r="BD78" t="s">
        <v>32</v>
      </c>
      <c r="BE78">
        <v>73.400000000000006</v>
      </c>
      <c r="BL78" t="s">
        <v>17</v>
      </c>
      <c r="BM78">
        <v>73.400000000000006</v>
      </c>
    </row>
    <row r="79" spans="2:65" x14ac:dyDescent="0.25">
      <c r="B79" t="s">
        <v>22</v>
      </c>
      <c r="E79" t="s">
        <v>30</v>
      </c>
      <c r="I79" t="s">
        <v>16</v>
      </c>
      <c r="R79" t="s">
        <v>19</v>
      </c>
      <c r="Y79" t="s">
        <v>24</v>
      </c>
      <c r="AH79" t="s">
        <v>21</v>
      </c>
      <c r="AM79" t="s">
        <v>16</v>
      </c>
      <c r="AN79">
        <v>68.599999999999994</v>
      </c>
      <c r="AV79" t="s">
        <v>24</v>
      </c>
      <c r="AW79">
        <v>68.599999999999994</v>
      </c>
      <c r="BD79" t="s">
        <v>30</v>
      </c>
      <c r="BE79">
        <v>68.599999999999994</v>
      </c>
      <c r="BL79" t="s">
        <v>21</v>
      </c>
      <c r="BM79">
        <v>68.599999999999994</v>
      </c>
    </row>
    <row r="80" spans="2:65" x14ac:dyDescent="0.25">
      <c r="B80" t="s">
        <v>22</v>
      </c>
      <c r="E80" t="s">
        <v>30</v>
      </c>
      <c r="I80" t="s">
        <v>16</v>
      </c>
      <c r="R80" t="s">
        <v>23</v>
      </c>
      <c r="Y80" t="s">
        <v>14</v>
      </c>
      <c r="AH80" t="s">
        <v>21</v>
      </c>
      <c r="AM80" t="s">
        <v>16</v>
      </c>
      <c r="AN80">
        <v>77.599999999999994</v>
      </c>
      <c r="AV80" t="s">
        <v>14</v>
      </c>
      <c r="AW80">
        <v>77.599999999999994</v>
      </c>
      <c r="BD80" t="s">
        <v>30</v>
      </c>
      <c r="BE80">
        <v>77.599999999999994</v>
      </c>
      <c r="BL80" t="s">
        <v>21</v>
      </c>
      <c r="BM80">
        <v>77.599999999999994</v>
      </c>
    </row>
    <row r="81" spans="2:65" x14ac:dyDescent="0.25">
      <c r="B81" t="s">
        <v>22</v>
      </c>
      <c r="E81" t="s">
        <v>32</v>
      </c>
      <c r="I81" t="s">
        <v>16</v>
      </c>
      <c r="R81" t="s">
        <v>28</v>
      </c>
      <c r="Y81" t="s">
        <v>24</v>
      </c>
      <c r="AH81" t="s">
        <v>25</v>
      </c>
      <c r="AM81" t="s">
        <v>16</v>
      </c>
      <c r="AN81">
        <v>78.2</v>
      </c>
      <c r="AV81" t="s">
        <v>24</v>
      </c>
      <c r="AW81">
        <v>78.2</v>
      </c>
      <c r="BD81" t="s">
        <v>32</v>
      </c>
      <c r="BE81">
        <v>78.2</v>
      </c>
      <c r="BL81" t="s">
        <v>25</v>
      </c>
      <c r="BM81">
        <v>78.2</v>
      </c>
    </row>
    <row r="82" spans="2:65" x14ac:dyDescent="0.25">
      <c r="B82" t="s">
        <v>22</v>
      </c>
      <c r="E82" t="s">
        <v>20</v>
      </c>
      <c r="I82" t="s">
        <v>31</v>
      </c>
      <c r="R82" t="s">
        <v>28</v>
      </c>
      <c r="Y82" t="s">
        <v>24</v>
      </c>
      <c r="AH82" t="s">
        <v>17</v>
      </c>
      <c r="AM82" t="s">
        <v>31</v>
      </c>
      <c r="AN82">
        <v>60.2</v>
      </c>
      <c r="AV82" t="s">
        <v>24</v>
      </c>
      <c r="AW82">
        <v>60.2</v>
      </c>
      <c r="BD82" t="s">
        <v>20</v>
      </c>
      <c r="BE82">
        <v>60.2</v>
      </c>
      <c r="BL82" t="s">
        <v>17</v>
      </c>
      <c r="BM82">
        <v>60.2</v>
      </c>
    </row>
    <row r="83" spans="2:65" x14ac:dyDescent="0.25">
      <c r="B83" t="s">
        <v>22</v>
      </c>
      <c r="E83" t="s">
        <v>20</v>
      </c>
      <c r="I83" t="s">
        <v>31</v>
      </c>
      <c r="R83" t="s">
        <v>13</v>
      </c>
      <c r="Y83" t="s">
        <v>14</v>
      </c>
      <c r="AH83" t="s">
        <v>17</v>
      </c>
      <c r="AM83" t="s">
        <v>31</v>
      </c>
      <c r="AN83">
        <v>60.2</v>
      </c>
      <c r="AV83" t="s">
        <v>14</v>
      </c>
      <c r="AW83">
        <v>60.2</v>
      </c>
      <c r="BD83" t="s">
        <v>20</v>
      </c>
      <c r="BE83">
        <v>60.2</v>
      </c>
      <c r="BL83" t="s">
        <v>17</v>
      </c>
      <c r="BM83">
        <v>60.2</v>
      </c>
    </row>
    <row r="84" spans="2:65" x14ac:dyDescent="0.25">
      <c r="B84" t="s">
        <v>18</v>
      </c>
      <c r="E84" t="s">
        <v>15</v>
      </c>
      <c r="I84" t="s">
        <v>16</v>
      </c>
      <c r="R84" t="s">
        <v>13</v>
      </c>
      <c r="Y84" t="s">
        <v>24</v>
      </c>
      <c r="AH84" t="s">
        <v>21</v>
      </c>
      <c r="AM84" t="s">
        <v>16</v>
      </c>
      <c r="AN84">
        <v>96.6</v>
      </c>
      <c r="AV84" t="s">
        <v>24</v>
      </c>
      <c r="AW84">
        <v>96.6</v>
      </c>
      <c r="BD84" t="s">
        <v>15</v>
      </c>
      <c r="BE84">
        <v>96.6</v>
      </c>
      <c r="BL84" t="s">
        <v>21</v>
      </c>
      <c r="BM84">
        <v>96.6</v>
      </c>
    </row>
    <row r="85" spans="2:65" x14ac:dyDescent="0.25">
      <c r="B85" t="s">
        <v>18</v>
      </c>
      <c r="E85" t="s">
        <v>30</v>
      </c>
      <c r="I85" t="s">
        <v>31</v>
      </c>
      <c r="R85" t="s">
        <v>28</v>
      </c>
      <c r="Y85" t="s">
        <v>29</v>
      </c>
      <c r="AH85" t="s">
        <v>21</v>
      </c>
      <c r="AM85" t="s">
        <v>31</v>
      </c>
      <c r="AN85">
        <v>84</v>
      </c>
      <c r="AV85" t="s">
        <v>29</v>
      </c>
      <c r="AW85">
        <v>84</v>
      </c>
      <c r="BD85" t="s">
        <v>30</v>
      </c>
      <c r="BE85">
        <v>84</v>
      </c>
      <c r="BL85" t="s">
        <v>21</v>
      </c>
      <c r="BM85">
        <v>84</v>
      </c>
    </row>
    <row r="86" spans="2:65" x14ac:dyDescent="0.25">
      <c r="B86" t="s">
        <v>22</v>
      </c>
      <c r="E86" t="s">
        <v>20</v>
      </c>
      <c r="I86" t="s">
        <v>31</v>
      </c>
      <c r="R86" t="s">
        <v>23</v>
      </c>
      <c r="Y86" t="s">
        <v>14</v>
      </c>
      <c r="AH86" t="s">
        <v>17</v>
      </c>
      <c r="AM86" t="s">
        <v>31</v>
      </c>
      <c r="AN86">
        <v>61.2</v>
      </c>
      <c r="AV86" t="s">
        <v>14</v>
      </c>
      <c r="AW86">
        <v>61.2</v>
      </c>
      <c r="BD86" t="s">
        <v>20</v>
      </c>
      <c r="BE86">
        <v>61.2</v>
      </c>
      <c r="BL86" t="s">
        <v>17</v>
      </c>
      <c r="BM86">
        <v>61.2</v>
      </c>
    </row>
    <row r="87" spans="2:65" x14ac:dyDescent="0.25">
      <c r="B87" t="s">
        <v>27</v>
      </c>
      <c r="E87" t="s">
        <v>33</v>
      </c>
      <c r="I87" t="s">
        <v>16</v>
      </c>
      <c r="R87" t="s">
        <v>23</v>
      </c>
      <c r="Y87" t="s">
        <v>24</v>
      </c>
      <c r="AH87" t="s">
        <v>17</v>
      </c>
      <c r="AM87" t="s">
        <v>16</v>
      </c>
      <c r="AN87">
        <v>52.4</v>
      </c>
      <c r="AV87" t="s">
        <v>24</v>
      </c>
      <c r="AW87">
        <v>52.4</v>
      </c>
      <c r="BD87" t="s">
        <v>33</v>
      </c>
      <c r="BE87">
        <v>52.4</v>
      </c>
      <c r="BL87" t="s">
        <v>17</v>
      </c>
      <c r="BM87">
        <v>52.4</v>
      </c>
    </row>
    <row r="88" spans="2:65" x14ac:dyDescent="0.25">
      <c r="B88" t="s">
        <v>27</v>
      </c>
      <c r="E88" t="s">
        <v>33</v>
      </c>
      <c r="I88" t="s">
        <v>16</v>
      </c>
      <c r="R88" t="s">
        <v>19</v>
      </c>
      <c r="Y88" t="s">
        <v>14</v>
      </c>
      <c r="AH88" t="s">
        <v>25</v>
      </c>
      <c r="AM88" t="s">
        <v>16</v>
      </c>
      <c r="AN88">
        <v>50.2</v>
      </c>
      <c r="AV88" t="s">
        <v>14</v>
      </c>
      <c r="AW88">
        <v>50.2</v>
      </c>
      <c r="BD88" t="s">
        <v>33</v>
      </c>
      <c r="BE88">
        <v>50.2</v>
      </c>
      <c r="BL88" t="s">
        <v>25</v>
      </c>
      <c r="BM88">
        <v>50.2</v>
      </c>
    </row>
    <row r="89" spans="2:65" x14ac:dyDescent="0.25">
      <c r="B89" t="s">
        <v>22</v>
      </c>
      <c r="E89" t="s">
        <v>30</v>
      </c>
      <c r="I89" t="s">
        <v>16</v>
      </c>
      <c r="R89" t="s">
        <v>19</v>
      </c>
      <c r="Y89" t="s">
        <v>24</v>
      </c>
      <c r="AH89" t="s">
        <v>25</v>
      </c>
      <c r="AM89" t="s">
        <v>16</v>
      </c>
      <c r="AN89">
        <v>75.599999999999994</v>
      </c>
      <c r="AV89" t="s">
        <v>24</v>
      </c>
      <c r="AW89">
        <v>75.599999999999994</v>
      </c>
      <c r="BD89" t="s">
        <v>30</v>
      </c>
      <c r="BE89">
        <v>75.599999999999994</v>
      </c>
      <c r="BL89" t="s">
        <v>25</v>
      </c>
      <c r="BM89">
        <v>75.599999999999994</v>
      </c>
    </row>
    <row r="90" spans="2:65" x14ac:dyDescent="0.25">
      <c r="B90" t="s">
        <v>18</v>
      </c>
      <c r="E90" t="s">
        <v>30</v>
      </c>
      <c r="I90" t="s">
        <v>31</v>
      </c>
      <c r="R90" t="s">
        <v>19</v>
      </c>
      <c r="Y90" t="s">
        <v>14</v>
      </c>
      <c r="AH90" t="s">
        <v>21</v>
      </c>
      <c r="AM90" t="s">
        <v>31</v>
      </c>
      <c r="AN90">
        <v>89.8</v>
      </c>
      <c r="AV90" t="s">
        <v>14</v>
      </c>
      <c r="AW90">
        <v>89.8</v>
      </c>
      <c r="BD90" t="s">
        <v>30</v>
      </c>
      <c r="BE90">
        <v>89.8</v>
      </c>
      <c r="BL90" t="s">
        <v>21</v>
      </c>
      <c r="BM90">
        <v>89.8</v>
      </c>
    </row>
    <row r="91" spans="2:65" x14ac:dyDescent="0.25">
      <c r="B91" t="s">
        <v>22</v>
      </c>
      <c r="E91" t="s">
        <v>33</v>
      </c>
      <c r="I91" t="s">
        <v>31</v>
      </c>
      <c r="R91" t="s">
        <v>13</v>
      </c>
      <c r="Y91" t="s">
        <v>29</v>
      </c>
      <c r="AH91" t="s">
        <v>21</v>
      </c>
      <c r="AM91" t="s">
        <v>31</v>
      </c>
      <c r="AN91">
        <v>65.2</v>
      </c>
      <c r="AV91" t="s">
        <v>29</v>
      </c>
      <c r="AW91">
        <v>65.2</v>
      </c>
      <c r="BD91" t="s">
        <v>33</v>
      </c>
      <c r="BE91">
        <v>65.2</v>
      </c>
      <c r="BL91" t="s">
        <v>21</v>
      </c>
      <c r="BM91">
        <v>65.2</v>
      </c>
    </row>
    <row r="92" spans="2:65" x14ac:dyDescent="0.25">
      <c r="B92" t="s">
        <v>18</v>
      </c>
      <c r="E92" t="s">
        <v>32</v>
      </c>
      <c r="I92" t="s">
        <v>16</v>
      </c>
      <c r="R92" t="s">
        <v>13</v>
      </c>
      <c r="Y92" t="s">
        <v>14</v>
      </c>
      <c r="AH92" t="s">
        <v>21</v>
      </c>
      <c r="AM92" t="s">
        <v>16</v>
      </c>
      <c r="AN92">
        <v>83.4</v>
      </c>
      <c r="AV92" t="s">
        <v>14</v>
      </c>
      <c r="AW92">
        <v>83.4</v>
      </c>
      <c r="BD92" t="s">
        <v>32</v>
      </c>
      <c r="BE92">
        <v>83.4</v>
      </c>
      <c r="BL92" t="s">
        <v>21</v>
      </c>
      <c r="BM92">
        <v>83.4</v>
      </c>
    </row>
    <row r="93" spans="2:65" x14ac:dyDescent="0.25">
      <c r="B93" t="s">
        <v>18</v>
      </c>
      <c r="E93" t="s">
        <v>30</v>
      </c>
      <c r="I93" t="s">
        <v>31</v>
      </c>
      <c r="R93" t="s">
        <v>19</v>
      </c>
      <c r="Y93" t="s">
        <v>14</v>
      </c>
      <c r="AH93" t="s">
        <v>21</v>
      </c>
      <c r="AM93" t="s">
        <v>31</v>
      </c>
      <c r="AN93">
        <v>81.400000000000006</v>
      </c>
      <c r="AV93" t="s">
        <v>14</v>
      </c>
      <c r="AW93">
        <v>81.400000000000006</v>
      </c>
      <c r="BD93" t="s">
        <v>30</v>
      </c>
      <c r="BE93">
        <v>81.400000000000006</v>
      </c>
      <c r="BL93" t="s">
        <v>21</v>
      </c>
      <c r="BM93">
        <v>81.400000000000006</v>
      </c>
    </row>
    <row r="94" spans="2:65" x14ac:dyDescent="0.25">
      <c r="B94" t="s">
        <v>22</v>
      </c>
      <c r="E94" t="s">
        <v>30</v>
      </c>
      <c r="I94" t="s">
        <v>16</v>
      </c>
      <c r="R94" t="s">
        <v>13</v>
      </c>
      <c r="Y94" t="s">
        <v>14</v>
      </c>
      <c r="AH94" t="s">
        <v>25</v>
      </c>
      <c r="AM94" t="s">
        <v>16</v>
      </c>
      <c r="AN94">
        <v>71.2</v>
      </c>
      <c r="AV94" t="s">
        <v>14</v>
      </c>
      <c r="AW94">
        <v>71.2</v>
      </c>
      <c r="BD94" t="s">
        <v>30</v>
      </c>
      <c r="BE94">
        <v>71.2</v>
      </c>
      <c r="BL94" t="s">
        <v>25</v>
      </c>
      <c r="BM94">
        <v>71.2</v>
      </c>
    </row>
    <row r="95" spans="2:65" x14ac:dyDescent="0.25">
      <c r="B95" t="s">
        <v>22</v>
      </c>
      <c r="E95" t="s">
        <v>20</v>
      </c>
      <c r="I95" t="s">
        <v>16</v>
      </c>
      <c r="R95" t="s">
        <v>19</v>
      </c>
      <c r="Y95" t="s">
        <v>14</v>
      </c>
      <c r="AH95" t="s">
        <v>17</v>
      </c>
      <c r="AM95" t="s">
        <v>16</v>
      </c>
      <c r="AN95">
        <v>66.2</v>
      </c>
      <c r="AV95" t="s">
        <v>14</v>
      </c>
      <c r="AW95">
        <v>66.2</v>
      </c>
      <c r="BD95" t="s">
        <v>20</v>
      </c>
      <c r="BE95">
        <v>66.2</v>
      </c>
      <c r="BL95" t="s">
        <v>17</v>
      </c>
      <c r="BM95">
        <v>66.2</v>
      </c>
    </row>
    <row r="96" spans="2:65" x14ac:dyDescent="0.25">
      <c r="B96" t="s">
        <v>18</v>
      </c>
      <c r="E96" t="s">
        <v>32</v>
      </c>
      <c r="I96" t="s">
        <v>16</v>
      </c>
      <c r="R96" t="s">
        <v>26</v>
      </c>
      <c r="Y96" t="s">
        <v>24</v>
      </c>
      <c r="AH96" t="s">
        <v>21</v>
      </c>
      <c r="AM96" t="s">
        <v>16</v>
      </c>
      <c r="AN96">
        <v>96.2</v>
      </c>
      <c r="AV96" t="s">
        <v>24</v>
      </c>
      <c r="AW96">
        <v>96.2</v>
      </c>
      <c r="BD96" t="s">
        <v>32</v>
      </c>
      <c r="BE96">
        <v>96.2</v>
      </c>
      <c r="BL96" t="s">
        <v>21</v>
      </c>
      <c r="BM96">
        <v>96.2</v>
      </c>
    </row>
    <row r="97" spans="2:65" x14ac:dyDescent="0.25">
      <c r="B97" t="s">
        <v>22</v>
      </c>
      <c r="E97" t="s">
        <v>20</v>
      </c>
      <c r="I97" t="s">
        <v>31</v>
      </c>
      <c r="R97" t="s">
        <v>13</v>
      </c>
      <c r="Y97" t="s">
        <v>24</v>
      </c>
      <c r="AH97" t="s">
        <v>21</v>
      </c>
      <c r="AM97" t="s">
        <v>31</v>
      </c>
      <c r="AN97">
        <v>71.400000000000006</v>
      </c>
      <c r="AV97" t="s">
        <v>24</v>
      </c>
      <c r="AW97">
        <v>71.400000000000006</v>
      </c>
      <c r="BD97" t="s">
        <v>20</v>
      </c>
      <c r="BE97">
        <v>71.400000000000006</v>
      </c>
      <c r="BL97" t="s">
        <v>21</v>
      </c>
      <c r="BM97">
        <v>71.400000000000006</v>
      </c>
    </row>
    <row r="98" spans="2:65" x14ac:dyDescent="0.25">
      <c r="B98" t="s">
        <v>18</v>
      </c>
      <c r="E98" t="s">
        <v>15</v>
      </c>
      <c r="I98" t="s">
        <v>16</v>
      </c>
      <c r="R98" t="s">
        <v>13</v>
      </c>
      <c r="Y98" t="s">
        <v>29</v>
      </c>
      <c r="AH98" t="s">
        <v>25</v>
      </c>
      <c r="AM98" t="s">
        <v>16</v>
      </c>
      <c r="AN98">
        <v>85.8</v>
      </c>
      <c r="AV98" t="s">
        <v>29</v>
      </c>
      <c r="AW98">
        <v>85.8</v>
      </c>
      <c r="BD98" t="s">
        <v>15</v>
      </c>
      <c r="BE98">
        <v>85.8</v>
      </c>
      <c r="BL98" t="s">
        <v>25</v>
      </c>
      <c r="BM98">
        <v>85.8</v>
      </c>
    </row>
    <row r="99" spans="2:65" x14ac:dyDescent="0.25">
      <c r="B99" t="s">
        <v>18</v>
      </c>
      <c r="E99" t="s">
        <v>32</v>
      </c>
      <c r="I99" t="s">
        <v>16</v>
      </c>
      <c r="R99" t="s">
        <v>26</v>
      </c>
      <c r="Y99" t="s">
        <v>24</v>
      </c>
      <c r="AH99" t="s">
        <v>21</v>
      </c>
      <c r="AM99" t="s">
        <v>16</v>
      </c>
      <c r="AN99">
        <v>83</v>
      </c>
      <c r="AV99" t="s">
        <v>24</v>
      </c>
      <c r="AW99">
        <v>83</v>
      </c>
      <c r="BD99" t="s">
        <v>32</v>
      </c>
      <c r="BE99">
        <v>83</v>
      </c>
      <c r="BL99" t="s">
        <v>21</v>
      </c>
      <c r="BM99">
        <v>83</v>
      </c>
    </row>
    <row r="100" spans="2:65" x14ac:dyDescent="0.25">
      <c r="B100" t="s">
        <v>22</v>
      </c>
      <c r="E100" t="s">
        <v>20</v>
      </c>
      <c r="I100" t="s">
        <v>31</v>
      </c>
      <c r="R100" t="s">
        <v>19</v>
      </c>
      <c r="Y100" t="s">
        <v>29</v>
      </c>
      <c r="AH100" t="s">
        <v>17</v>
      </c>
      <c r="AM100" t="s">
        <v>31</v>
      </c>
      <c r="AN100">
        <v>60</v>
      </c>
      <c r="AV100" t="s">
        <v>29</v>
      </c>
      <c r="AW100">
        <v>60</v>
      </c>
      <c r="BD100" t="s">
        <v>20</v>
      </c>
      <c r="BE100">
        <v>60</v>
      </c>
      <c r="BL100" t="s">
        <v>17</v>
      </c>
      <c r="BM100">
        <v>60</v>
      </c>
    </row>
    <row r="101" spans="2:65" x14ac:dyDescent="0.25">
      <c r="B101" t="s">
        <v>22</v>
      </c>
      <c r="E101" t="s">
        <v>33</v>
      </c>
      <c r="I101" t="s">
        <v>16</v>
      </c>
      <c r="R101" t="s">
        <v>13</v>
      </c>
      <c r="Y101" t="s">
        <v>24</v>
      </c>
      <c r="AH101" t="s">
        <v>21</v>
      </c>
      <c r="AM101" t="s">
        <v>16</v>
      </c>
      <c r="AN101">
        <v>64</v>
      </c>
      <c r="AV101" t="s">
        <v>24</v>
      </c>
      <c r="AW101">
        <v>64</v>
      </c>
      <c r="BD101" t="s">
        <v>33</v>
      </c>
      <c r="BE101">
        <v>64</v>
      </c>
      <c r="BL101" t="s">
        <v>21</v>
      </c>
      <c r="BM101">
        <v>64</v>
      </c>
    </row>
    <row r="102" spans="2:65" x14ac:dyDescent="0.25">
      <c r="B102" t="s">
        <v>22</v>
      </c>
      <c r="E102" t="s">
        <v>20</v>
      </c>
      <c r="I102" t="s">
        <v>16</v>
      </c>
      <c r="R102" t="s">
        <v>28</v>
      </c>
      <c r="Y102" t="s">
        <v>24</v>
      </c>
      <c r="AH102" t="s">
        <v>21</v>
      </c>
      <c r="AM102" t="s">
        <v>16</v>
      </c>
      <c r="AN102">
        <v>77.599999999999994</v>
      </c>
      <c r="AV102" t="s">
        <v>24</v>
      </c>
      <c r="AW102">
        <v>77.599999999999994</v>
      </c>
      <c r="BD102" t="s">
        <v>20</v>
      </c>
      <c r="BE102">
        <v>77.599999999999994</v>
      </c>
      <c r="BL102" t="s">
        <v>21</v>
      </c>
      <c r="BM102">
        <v>77.599999999999994</v>
      </c>
    </row>
    <row r="103" spans="2:65" x14ac:dyDescent="0.25">
      <c r="B103" t="s">
        <v>18</v>
      </c>
      <c r="E103" t="s">
        <v>15</v>
      </c>
      <c r="I103" t="s">
        <v>31</v>
      </c>
      <c r="R103" t="s">
        <v>28</v>
      </c>
      <c r="Y103" t="s">
        <v>14</v>
      </c>
      <c r="AH103" t="s">
        <v>25</v>
      </c>
      <c r="AM103" t="s">
        <v>31</v>
      </c>
      <c r="AN103">
        <v>89.2</v>
      </c>
      <c r="AV103" t="s">
        <v>14</v>
      </c>
      <c r="AW103">
        <v>89.2</v>
      </c>
      <c r="BD103" t="s">
        <v>15</v>
      </c>
      <c r="BE103">
        <v>89.2</v>
      </c>
      <c r="BL103" t="s">
        <v>25</v>
      </c>
      <c r="BM103">
        <v>89.2</v>
      </c>
    </row>
    <row r="104" spans="2:65" x14ac:dyDescent="0.25">
      <c r="B104" t="s">
        <v>18</v>
      </c>
      <c r="E104" t="s">
        <v>32</v>
      </c>
      <c r="I104" t="s">
        <v>31</v>
      </c>
      <c r="R104" t="s">
        <v>26</v>
      </c>
      <c r="Y104" t="s">
        <v>24</v>
      </c>
      <c r="AH104" t="s">
        <v>25</v>
      </c>
      <c r="AM104" t="s">
        <v>31</v>
      </c>
      <c r="AN104">
        <v>81.400000000000006</v>
      </c>
      <c r="AV104" t="s">
        <v>24</v>
      </c>
      <c r="AW104">
        <v>81.400000000000006</v>
      </c>
      <c r="BD104" t="s">
        <v>32</v>
      </c>
      <c r="BE104">
        <v>81.400000000000006</v>
      </c>
      <c r="BL104" t="s">
        <v>25</v>
      </c>
      <c r="BM104">
        <v>81.400000000000006</v>
      </c>
    </row>
    <row r="105" spans="2:65" x14ac:dyDescent="0.25">
      <c r="B105" t="s">
        <v>22</v>
      </c>
      <c r="E105" t="s">
        <v>30</v>
      </c>
      <c r="I105" t="s">
        <v>31</v>
      </c>
      <c r="R105" t="s">
        <v>13</v>
      </c>
      <c r="Y105" t="s">
        <v>24</v>
      </c>
      <c r="AH105" t="s">
        <v>17</v>
      </c>
      <c r="AM105" t="s">
        <v>31</v>
      </c>
      <c r="AN105">
        <v>69.599999999999994</v>
      </c>
      <c r="AV105" t="s">
        <v>24</v>
      </c>
      <c r="AW105">
        <v>69.599999999999994</v>
      </c>
      <c r="BD105" t="s">
        <v>30</v>
      </c>
      <c r="BE105">
        <v>69.599999999999994</v>
      </c>
      <c r="BL105" t="s">
        <v>17</v>
      </c>
      <c r="BM105">
        <v>69.599999999999994</v>
      </c>
    </row>
    <row r="106" spans="2:65" x14ac:dyDescent="0.25">
      <c r="B106" t="s">
        <v>22</v>
      </c>
      <c r="E106" t="s">
        <v>30</v>
      </c>
      <c r="I106" t="s">
        <v>16</v>
      </c>
      <c r="R106" t="s">
        <v>19</v>
      </c>
      <c r="Y106" t="s">
        <v>24</v>
      </c>
      <c r="AH106" t="s">
        <v>17</v>
      </c>
      <c r="AM106" t="s">
        <v>16</v>
      </c>
      <c r="AN106">
        <v>63.4</v>
      </c>
      <c r="AV106" t="s">
        <v>24</v>
      </c>
      <c r="AW106">
        <v>63.4</v>
      </c>
      <c r="BD106" t="s">
        <v>30</v>
      </c>
      <c r="BE106">
        <v>63.4</v>
      </c>
      <c r="BL106" t="s">
        <v>17</v>
      </c>
      <c r="BM106">
        <v>63.4</v>
      </c>
    </row>
    <row r="107" spans="2:65" x14ac:dyDescent="0.25">
      <c r="B107" t="s">
        <v>18</v>
      </c>
      <c r="E107" t="s">
        <v>15</v>
      </c>
      <c r="I107" t="s">
        <v>31</v>
      </c>
      <c r="R107" t="s">
        <v>28</v>
      </c>
      <c r="Y107" t="s">
        <v>14</v>
      </c>
      <c r="AH107" t="s">
        <v>25</v>
      </c>
      <c r="AM107" t="s">
        <v>31</v>
      </c>
      <c r="AN107">
        <v>84.2</v>
      </c>
      <c r="AV107" t="s">
        <v>14</v>
      </c>
      <c r="AW107">
        <v>84.2</v>
      </c>
      <c r="BD107" t="s">
        <v>15</v>
      </c>
      <c r="BE107">
        <v>84.2</v>
      </c>
      <c r="BL107" t="s">
        <v>25</v>
      </c>
      <c r="BM107">
        <v>84.2</v>
      </c>
    </row>
    <row r="108" spans="2:65" x14ac:dyDescent="0.25">
      <c r="B108" t="s">
        <v>18</v>
      </c>
      <c r="E108" t="s">
        <v>32</v>
      </c>
      <c r="I108" t="s">
        <v>31</v>
      </c>
      <c r="R108" t="s">
        <v>28</v>
      </c>
      <c r="Y108" t="s">
        <v>14</v>
      </c>
      <c r="AH108" t="s">
        <v>17</v>
      </c>
      <c r="AM108" t="s">
        <v>31</v>
      </c>
      <c r="AN108">
        <v>88.4</v>
      </c>
      <c r="AV108" t="s">
        <v>14</v>
      </c>
      <c r="AW108">
        <v>88.4</v>
      </c>
      <c r="BD108" t="s">
        <v>32</v>
      </c>
      <c r="BE108">
        <v>88.4</v>
      </c>
      <c r="BL108" t="s">
        <v>17</v>
      </c>
      <c r="BM108">
        <v>88.4</v>
      </c>
    </row>
    <row r="109" spans="2:65" x14ac:dyDescent="0.25">
      <c r="B109" t="s">
        <v>22</v>
      </c>
      <c r="E109" t="s">
        <v>30</v>
      </c>
      <c r="I109" t="s">
        <v>31</v>
      </c>
      <c r="R109" t="s">
        <v>23</v>
      </c>
      <c r="Y109" t="s">
        <v>24</v>
      </c>
      <c r="AH109" t="s">
        <v>17</v>
      </c>
      <c r="AM109" t="s">
        <v>31</v>
      </c>
      <c r="AN109">
        <v>67.599999999999994</v>
      </c>
      <c r="AV109" t="s">
        <v>24</v>
      </c>
      <c r="AW109">
        <v>67.599999999999994</v>
      </c>
      <c r="BD109" t="s">
        <v>30</v>
      </c>
      <c r="BE109">
        <v>67.599999999999994</v>
      </c>
      <c r="BL109" t="s">
        <v>17</v>
      </c>
      <c r="BM109">
        <v>67.599999999999994</v>
      </c>
    </row>
    <row r="110" spans="2:65" x14ac:dyDescent="0.25">
      <c r="B110" t="s">
        <v>18</v>
      </c>
      <c r="E110" t="s">
        <v>15</v>
      </c>
      <c r="I110" t="s">
        <v>16</v>
      </c>
      <c r="R110" t="s">
        <v>28</v>
      </c>
      <c r="Y110" t="s">
        <v>29</v>
      </c>
      <c r="AH110" t="s">
        <v>25</v>
      </c>
      <c r="AM110" t="s">
        <v>16</v>
      </c>
      <c r="AN110">
        <v>87</v>
      </c>
      <c r="AV110" t="s">
        <v>29</v>
      </c>
      <c r="AW110">
        <v>87</v>
      </c>
      <c r="BD110" t="s">
        <v>15</v>
      </c>
      <c r="BE110">
        <v>87</v>
      </c>
      <c r="BL110" t="s">
        <v>25</v>
      </c>
      <c r="BM110">
        <v>87</v>
      </c>
    </row>
    <row r="111" spans="2:65" x14ac:dyDescent="0.25">
      <c r="B111" t="s">
        <v>27</v>
      </c>
      <c r="E111" t="s">
        <v>20</v>
      </c>
      <c r="I111" t="s">
        <v>31</v>
      </c>
      <c r="R111" t="s">
        <v>26</v>
      </c>
      <c r="Y111" t="s">
        <v>24</v>
      </c>
      <c r="AH111" t="s">
        <v>17</v>
      </c>
      <c r="AM111" t="s">
        <v>31</v>
      </c>
      <c r="AN111">
        <v>53.6</v>
      </c>
      <c r="AV111" t="s">
        <v>24</v>
      </c>
      <c r="AW111">
        <v>53.6</v>
      </c>
      <c r="BD111" t="s">
        <v>20</v>
      </c>
      <c r="BE111">
        <v>53.6</v>
      </c>
      <c r="BL111" t="s">
        <v>17</v>
      </c>
      <c r="BM111">
        <v>53.6</v>
      </c>
    </row>
    <row r="112" spans="2:65" x14ac:dyDescent="0.25">
      <c r="B112" t="s">
        <v>22</v>
      </c>
      <c r="E112" t="s">
        <v>30</v>
      </c>
      <c r="I112" t="s">
        <v>31</v>
      </c>
      <c r="R112" t="s">
        <v>13</v>
      </c>
      <c r="Y112" t="s">
        <v>29</v>
      </c>
      <c r="AH112" t="s">
        <v>21</v>
      </c>
      <c r="AM112" t="s">
        <v>31</v>
      </c>
      <c r="AN112">
        <v>79.400000000000006</v>
      </c>
      <c r="AV112" t="s">
        <v>29</v>
      </c>
      <c r="AW112">
        <v>79.400000000000006</v>
      </c>
      <c r="BD112" t="s">
        <v>30</v>
      </c>
      <c r="BE112">
        <v>79.400000000000006</v>
      </c>
      <c r="BL112" t="s">
        <v>21</v>
      </c>
      <c r="BM112">
        <v>79.400000000000006</v>
      </c>
    </row>
    <row r="113" spans="2:65" x14ac:dyDescent="0.25">
      <c r="B113" t="s">
        <v>22</v>
      </c>
      <c r="E113" t="s">
        <v>20</v>
      </c>
      <c r="I113" t="s">
        <v>16</v>
      </c>
      <c r="R113" t="s">
        <v>19</v>
      </c>
      <c r="Y113" t="s">
        <v>14</v>
      </c>
      <c r="AH113" t="s">
        <v>25</v>
      </c>
      <c r="AM113" t="s">
        <v>16</v>
      </c>
      <c r="AN113">
        <v>61.4</v>
      </c>
      <c r="AV113" t="s">
        <v>14</v>
      </c>
      <c r="AW113">
        <v>61.4</v>
      </c>
      <c r="BD113" t="s">
        <v>20</v>
      </c>
      <c r="BE113">
        <v>61.4</v>
      </c>
      <c r="BL113" t="s">
        <v>25</v>
      </c>
      <c r="BM113">
        <v>61.4</v>
      </c>
    </row>
    <row r="114" spans="2:65" x14ac:dyDescent="0.25">
      <c r="B114" t="s">
        <v>22</v>
      </c>
      <c r="E114" t="s">
        <v>20</v>
      </c>
      <c r="I114" t="s">
        <v>31</v>
      </c>
      <c r="R114" t="s">
        <v>28</v>
      </c>
      <c r="Y114" t="s">
        <v>29</v>
      </c>
      <c r="AH114" t="s">
        <v>21</v>
      </c>
      <c r="AM114" t="s">
        <v>31</v>
      </c>
      <c r="AN114">
        <v>65.8</v>
      </c>
      <c r="AV114" t="s">
        <v>29</v>
      </c>
      <c r="AW114">
        <v>65.8</v>
      </c>
      <c r="BD114" t="s">
        <v>20</v>
      </c>
      <c r="BE114">
        <v>65.8</v>
      </c>
      <c r="BL114" t="s">
        <v>21</v>
      </c>
      <c r="BM114">
        <v>65.8</v>
      </c>
    </row>
    <row r="115" spans="2:65" x14ac:dyDescent="0.25">
      <c r="B115" t="s">
        <v>22</v>
      </c>
      <c r="E115" t="s">
        <v>33</v>
      </c>
      <c r="I115" t="s">
        <v>16</v>
      </c>
      <c r="R115" t="s">
        <v>23</v>
      </c>
      <c r="Y115" t="s">
        <v>29</v>
      </c>
      <c r="AH115" t="s">
        <v>21</v>
      </c>
      <c r="AM115" t="s">
        <v>16</v>
      </c>
      <c r="AN115">
        <v>60.6</v>
      </c>
      <c r="AV115" t="s">
        <v>29</v>
      </c>
      <c r="AW115">
        <v>60.6</v>
      </c>
      <c r="BD115" t="s">
        <v>33</v>
      </c>
      <c r="BE115">
        <v>60.6</v>
      </c>
      <c r="BL115" t="s">
        <v>21</v>
      </c>
      <c r="BM115">
        <v>60.6</v>
      </c>
    </row>
    <row r="116" spans="2:65" x14ac:dyDescent="0.25">
      <c r="B116" t="s">
        <v>27</v>
      </c>
      <c r="E116" t="s">
        <v>33</v>
      </c>
      <c r="I116" t="s">
        <v>16</v>
      </c>
      <c r="R116" t="s">
        <v>13</v>
      </c>
      <c r="Y116" t="s">
        <v>29</v>
      </c>
      <c r="AH116" t="s">
        <v>17</v>
      </c>
      <c r="AM116" t="s">
        <v>16</v>
      </c>
      <c r="AN116">
        <v>56</v>
      </c>
      <c r="AV116" t="s">
        <v>29</v>
      </c>
      <c r="AW116">
        <v>56</v>
      </c>
      <c r="BD116" t="s">
        <v>33</v>
      </c>
      <c r="BE116">
        <v>56</v>
      </c>
      <c r="BL116" t="s">
        <v>17</v>
      </c>
      <c r="BM116">
        <v>56</v>
      </c>
    </row>
    <row r="117" spans="2:65" x14ac:dyDescent="0.25">
      <c r="B117" t="s">
        <v>18</v>
      </c>
      <c r="E117" t="s">
        <v>32</v>
      </c>
      <c r="I117" t="s">
        <v>31</v>
      </c>
      <c r="R117" t="s">
        <v>19</v>
      </c>
      <c r="Y117" t="s">
        <v>29</v>
      </c>
      <c r="AH117" t="s">
        <v>25</v>
      </c>
      <c r="AM117" t="s">
        <v>31</v>
      </c>
      <c r="AN117">
        <v>80.8</v>
      </c>
      <c r="AV117" t="s">
        <v>29</v>
      </c>
      <c r="AW117">
        <v>80.8</v>
      </c>
      <c r="BD117" t="s">
        <v>32</v>
      </c>
      <c r="BE117">
        <v>80.8</v>
      </c>
      <c r="BL117" t="s">
        <v>25</v>
      </c>
      <c r="BM117">
        <v>80.8</v>
      </c>
    </row>
    <row r="118" spans="2:65" x14ac:dyDescent="0.25">
      <c r="B118" t="s">
        <v>18</v>
      </c>
      <c r="E118" t="s">
        <v>32</v>
      </c>
      <c r="I118" t="s">
        <v>16</v>
      </c>
      <c r="R118" t="s">
        <v>19</v>
      </c>
      <c r="Y118" t="s">
        <v>14</v>
      </c>
      <c r="AH118" t="s">
        <v>17</v>
      </c>
      <c r="AM118" t="s">
        <v>16</v>
      </c>
      <c r="AN118">
        <v>82.8</v>
      </c>
      <c r="AV118" t="s">
        <v>14</v>
      </c>
      <c r="AW118">
        <v>82.8</v>
      </c>
      <c r="BD118" t="s">
        <v>32</v>
      </c>
      <c r="BE118">
        <v>82.8</v>
      </c>
      <c r="BL118" t="s">
        <v>17</v>
      </c>
      <c r="BM118">
        <v>82.8</v>
      </c>
    </row>
    <row r="119" spans="2:65" x14ac:dyDescent="0.25">
      <c r="B119" t="s">
        <v>18</v>
      </c>
      <c r="E119" t="s">
        <v>32</v>
      </c>
      <c r="I119" t="s">
        <v>16</v>
      </c>
      <c r="R119" t="s">
        <v>28</v>
      </c>
      <c r="Y119" t="s">
        <v>24</v>
      </c>
      <c r="AH119" t="s">
        <v>21</v>
      </c>
      <c r="AM119" t="s">
        <v>16</v>
      </c>
      <c r="AN119">
        <v>91.8</v>
      </c>
      <c r="AV119" t="s">
        <v>24</v>
      </c>
      <c r="AW119">
        <v>91.8</v>
      </c>
      <c r="BD119" t="s">
        <v>32</v>
      </c>
      <c r="BE119">
        <v>91.8</v>
      </c>
      <c r="BL119" t="s">
        <v>21</v>
      </c>
      <c r="BM119">
        <v>91.8</v>
      </c>
    </row>
    <row r="120" spans="2:65" x14ac:dyDescent="0.25">
      <c r="B120" t="s">
        <v>22</v>
      </c>
      <c r="E120" t="s">
        <v>20</v>
      </c>
      <c r="I120" t="s">
        <v>31</v>
      </c>
      <c r="R120" t="s">
        <v>26</v>
      </c>
      <c r="Y120" t="s">
        <v>29</v>
      </c>
      <c r="AH120" t="s">
        <v>21</v>
      </c>
      <c r="AM120" t="s">
        <v>31</v>
      </c>
      <c r="AN120">
        <v>66.8</v>
      </c>
      <c r="AV120" t="s">
        <v>29</v>
      </c>
      <c r="AW120">
        <v>66.8</v>
      </c>
      <c r="BD120" t="s">
        <v>20</v>
      </c>
      <c r="BE120">
        <v>66.8</v>
      </c>
      <c r="BL120" t="s">
        <v>21</v>
      </c>
      <c r="BM120">
        <v>66.8</v>
      </c>
    </row>
    <row r="121" spans="2:65" x14ac:dyDescent="0.25">
      <c r="B121" t="s">
        <v>22</v>
      </c>
      <c r="E121" t="s">
        <v>20</v>
      </c>
      <c r="I121" t="s">
        <v>16</v>
      </c>
      <c r="R121" t="s">
        <v>26</v>
      </c>
      <c r="Y121" t="s">
        <v>14</v>
      </c>
      <c r="AH121" t="s">
        <v>25</v>
      </c>
      <c r="AM121" t="s">
        <v>16</v>
      </c>
      <c r="AN121">
        <v>60.2</v>
      </c>
      <c r="AV121" t="s">
        <v>14</v>
      </c>
      <c r="AW121">
        <v>60.2</v>
      </c>
      <c r="BD121" t="s">
        <v>20</v>
      </c>
      <c r="BE121">
        <v>60.2</v>
      </c>
      <c r="BL121" t="s">
        <v>25</v>
      </c>
      <c r="BM121">
        <v>60.2</v>
      </c>
    </row>
    <row r="122" spans="2:65" x14ac:dyDescent="0.25">
      <c r="B122" t="s">
        <v>18</v>
      </c>
      <c r="E122" t="s">
        <v>15</v>
      </c>
      <c r="I122" t="s">
        <v>31</v>
      </c>
      <c r="R122" t="s">
        <v>23</v>
      </c>
      <c r="Y122" t="s">
        <v>24</v>
      </c>
      <c r="AH122" t="s">
        <v>17</v>
      </c>
      <c r="AM122" t="s">
        <v>31</v>
      </c>
      <c r="AN122">
        <v>87</v>
      </c>
      <c r="AV122" t="s">
        <v>24</v>
      </c>
      <c r="AW122">
        <v>87</v>
      </c>
      <c r="BD122" t="s">
        <v>15</v>
      </c>
      <c r="BE122">
        <v>87</v>
      </c>
      <c r="BL122" t="s">
        <v>17</v>
      </c>
      <c r="BM122">
        <v>87</v>
      </c>
    </row>
    <row r="123" spans="2:65" x14ac:dyDescent="0.25">
      <c r="B123" t="s">
        <v>18</v>
      </c>
      <c r="E123" t="s">
        <v>15</v>
      </c>
      <c r="I123" t="s">
        <v>31</v>
      </c>
      <c r="R123" t="s">
        <v>19</v>
      </c>
      <c r="Y123" t="s">
        <v>14</v>
      </c>
      <c r="AH123" t="s">
        <v>21</v>
      </c>
      <c r="AM123" t="s">
        <v>31</v>
      </c>
      <c r="AN123">
        <v>95.2</v>
      </c>
      <c r="AV123" t="s">
        <v>14</v>
      </c>
      <c r="AW123">
        <v>95.2</v>
      </c>
      <c r="BD123" t="s">
        <v>15</v>
      </c>
      <c r="BE123">
        <v>95.2</v>
      </c>
      <c r="BL123" t="s">
        <v>21</v>
      </c>
      <c r="BM123">
        <v>95.2</v>
      </c>
    </row>
    <row r="124" spans="2:65" x14ac:dyDescent="0.25">
      <c r="B124" t="s">
        <v>18</v>
      </c>
      <c r="E124" t="s">
        <v>32</v>
      </c>
      <c r="I124" t="s">
        <v>31</v>
      </c>
      <c r="R124" t="s">
        <v>28</v>
      </c>
      <c r="Y124" t="s">
        <v>29</v>
      </c>
      <c r="AH124" t="s">
        <v>25</v>
      </c>
      <c r="AM124" t="s">
        <v>31</v>
      </c>
      <c r="AN124">
        <v>80.400000000000006</v>
      </c>
      <c r="AV124" t="s">
        <v>29</v>
      </c>
      <c r="AW124">
        <v>80.400000000000006</v>
      </c>
      <c r="BD124" t="s">
        <v>32</v>
      </c>
      <c r="BE124">
        <v>80.400000000000006</v>
      </c>
      <c r="BL124" t="s">
        <v>25</v>
      </c>
      <c r="BM124">
        <v>80.400000000000006</v>
      </c>
    </row>
    <row r="125" spans="2:65" x14ac:dyDescent="0.25">
      <c r="B125" t="s">
        <v>18</v>
      </c>
      <c r="E125" t="s">
        <v>15</v>
      </c>
      <c r="I125" t="s">
        <v>16</v>
      </c>
      <c r="R125" t="s">
        <v>19</v>
      </c>
      <c r="Y125" t="s">
        <v>24</v>
      </c>
      <c r="AH125" t="s">
        <v>17</v>
      </c>
      <c r="AM125" t="s">
        <v>16</v>
      </c>
      <c r="AN125">
        <v>90.2</v>
      </c>
      <c r="AV125" t="s">
        <v>24</v>
      </c>
      <c r="AW125">
        <v>90.2</v>
      </c>
      <c r="BD125" t="s">
        <v>15</v>
      </c>
      <c r="BE125">
        <v>90.2</v>
      </c>
      <c r="BL125" t="s">
        <v>17</v>
      </c>
      <c r="BM125">
        <v>90.2</v>
      </c>
    </row>
    <row r="126" spans="2:65" x14ac:dyDescent="0.25">
      <c r="B126" t="s">
        <v>27</v>
      </c>
      <c r="E126" t="s">
        <v>33</v>
      </c>
      <c r="I126" t="s">
        <v>31</v>
      </c>
      <c r="R126" t="s">
        <v>26</v>
      </c>
      <c r="Y126" t="s">
        <v>14</v>
      </c>
      <c r="AH126" t="s">
        <v>21</v>
      </c>
      <c r="AM126" t="s">
        <v>31</v>
      </c>
      <c r="AN126">
        <v>54.2</v>
      </c>
      <c r="AV126" t="s">
        <v>14</v>
      </c>
      <c r="AW126">
        <v>54.2</v>
      </c>
      <c r="BD126" t="s">
        <v>33</v>
      </c>
      <c r="BE126">
        <v>54.2</v>
      </c>
      <c r="BL126" t="s">
        <v>21</v>
      </c>
      <c r="BM126">
        <v>54.2</v>
      </c>
    </row>
    <row r="127" spans="2:65" x14ac:dyDescent="0.25">
      <c r="B127" t="s">
        <v>22</v>
      </c>
      <c r="E127" t="s">
        <v>30</v>
      </c>
      <c r="I127" t="s">
        <v>31</v>
      </c>
      <c r="R127" t="s">
        <v>26</v>
      </c>
      <c r="Y127" t="s">
        <v>14</v>
      </c>
      <c r="AH127" t="s">
        <v>17</v>
      </c>
      <c r="AM127" t="s">
        <v>31</v>
      </c>
      <c r="AN127">
        <v>67</v>
      </c>
      <c r="AV127" t="s">
        <v>14</v>
      </c>
      <c r="AW127">
        <v>67</v>
      </c>
      <c r="BD127" t="s">
        <v>30</v>
      </c>
      <c r="BE127">
        <v>67</v>
      </c>
      <c r="BL127" t="s">
        <v>17</v>
      </c>
      <c r="BM127">
        <v>67</v>
      </c>
    </row>
    <row r="128" spans="2:65" x14ac:dyDescent="0.25">
      <c r="B128" t="s">
        <v>18</v>
      </c>
      <c r="E128" t="s">
        <v>15</v>
      </c>
      <c r="I128" t="s">
        <v>31</v>
      </c>
      <c r="R128" t="s">
        <v>13</v>
      </c>
      <c r="Y128" t="s">
        <v>29</v>
      </c>
      <c r="AH128" t="s">
        <v>25</v>
      </c>
      <c r="AM128" t="s">
        <v>31</v>
      </c>
      <c r="AN128">
        <v>81.599999999999994</v>
      </c>
      <c r="AV128" t="s">
        <v>29</v>
      </c>
      <c r="AW128">
        <v>81.599999999999994</v>
      </c>
      <c r="BD128" t="s">
        <v>15</v>
      </c>
      <c r="BE128">
        <v>81.599999999999994</v>
      </c>
      <c r="BL128" t="s">
        <v>25</v>
      </c>
      <c r="BM128">
        <v>81.599999999999994</v>
      </c>
    </row>
    <row r="129" spans="2:65" x14ac:dyDescent="0.25">
      <c r="B129" t="s">
        <v>18</v>
      </c>
      <c r="E129" t="s">
        <v>15</v>
      </c>
      <c r="I129" t="s">
        <v>31</v>
      </c>
      <c r="R129" t="s">
        <v>19</v>
      </c>
      <c r="Y129" t="s">
        <v>29</v>
      </c>
      <c r="AH129" t="s">
        <v>17</v>
      </c>
      <c r="AM129" t="s">
        <v>31</v>
      </c>
      <c r="AN129">
        <v>85.4</v>
      </c>
      <c r="AV129" t="s">
        <v>29</v>
      </c>
      <c r="AW129">
        <v>85.4</v>
      </c>
      <c r="BD129" t="s">
        <v>15</v>
      </c>
      <c r="BE129">
        <v>85.4</v>
      </c>
      <c r="BL129" t="s">
        <v>17</v>
      </c>
      <c r="BM129">
        <v>85.4</v>
      </c>
    </row>
    <row r="130" spans="2:65" x14ac:dyDescent="0.25">
      <c r="B130" t="s">
        <v>18</v>
      </c>
      <c r="E130" t="s">
        <v>15</v>
      </c>
      <c r="I130" t="s">
        <v>31</v>
      </c>
      <c r="R130" t="s">
        <v>19</v>
      </c>
      <c r="Y130" t="s">
        <v>14</v>
      </c>
      <c r="AH130" t="s">
        <v>17</v>
      </c>
      <c r="AM130" t="s">
        <v>31</v>
      </c>
      <c r="AN130">
        <v>80.8</v>
      </c>
      <c r="AV130" t="s">
        <v>14</v>
      </c>
      <c r="AW130">
        <v>80.8</v>
      </c>
      <c r="BD130" t="s">
        <v>15</v>
      </c>
      <c r="BE130">
        <v>80.8</v>
      </c>
      <c r="BL130" t="s">
        <v>17</v>
      </c>
      <c r="BM130">
        <v>80.8</v>
      </c>
    </row>
    <row r="131" spans="2:65" x14ac:dyDescent="0.25">
      <c r="B131" t="s">
        <v>22</v>
      </c>
      <c r="E131" t="s">
        <v>30</v>
      </c>
      <c r="I131" t="s">
        <v>16</v>
      </c>
      <c r="R131" t="s">
        <v>26</v>
      </c>
      <c r="Y131" t="s">
        <v>24</v>
      </c>
      <c r="AH131" t="s">
        <v>21</v>
      </c>
      <c r="AM131" t="s">
        <v>16</v>
      </c>
      <c r="AN131">
        <v>79.8</v>
      </c>
      <c r="AV131" t="s">
        <v>24</v>
      </c>
      <c r="AW131">
        <v>79.8</v>
      </c>
      <c r="BD131" t="s">
        <v>30</v>
      </c>
      <c r="BE131">
        <v>79.8</v>
      </c>
      <c r="BL131" t="s">
        <v>21</v>
      </c>
      <c r="BM131">
        <v>79.8</v>
      </c>
    </row>
    <row r="132" spans="2:65" x14ac:dyDescent="0.25">
      <c r="B132" t="s">
        <v>22</v>
      </c>
      <c r="E132" t="s">
        <v>30</v>
      </c>
      <c r="I132" t="s">
        <v>31</v>
      </c>
      <c r="R132" t="s">
        <v>23</v>
      </c>
      <c r="Y132" t="s">
        <v>29</v>
      </c>
      <c r="AH132" t="s">
        <v>25</v>
      </c>
      <c r="AM132" t="s">
        <v>31</v>
      </c>
      <c r="AN132">
        <v>70.400000000000006</v>
      </c>
      <c r="AV132" t="s">
        <v>29</v>
      </c>
      <c r="AW132">
        <v>70.400000000000006</v>
      </c>
      <c r="BD132" t="s">
        <v>30</v>
      </c>
      <c r="BE132">
        <v>70.400000000000006</v>
      </c>
      <c r="BL132" t="s">
        <v>25</v>
      </c>
      <c r="BM132">
        <v>70.400000000000006</v>
      </c>
    </row>
    <row r="133" spans="2:65" x14ac:dyDescent="0.25">
      <c r="B133" t="s">
        <v>27</v>
      </c>
      <c r="E133" t="s">
        <v>33</v>
      </c>
      <c r="I133" t="s">
        <v>16</v>
      </c>
      <c r="R133" t="s">
        <v>26</v>
      </c>
      <c r="Y133" t="s">
        <v>29</v>
      </c>
      <c r="AH133" t="s">
        <v>25</v>
      </c>
      <c r="AM133" t="s">
        <v>16</v>
      </c>
      <c r="AN133">
        <v>56.4</v>
      </c>
      <c r="AV133" t="s">
        <v>29</v>
      </c>
      <c r="AW133">
        <v>56.4</v>
      </c>
      <c r="BD133" t="s">
        <v>33</v>
      </c>
      <c r="BE133">
        <v>56.4</v>
      </c>
      <c r="BL133" t="s">
        <v>25</v>
      </c>
      <c r="BM133">
        <v>56.4</v>
      </c>
    </row>
    <row r="134" spans="2:65" x14ac:dyDescent="0.25">
      <c r="B134" t="s">
        <v>22</v>
      </c>
      <c r="E134" t="s">
        <v>30</v>
      </c>
      <c r="I134" t="s">
        <v>16</v>
      </c>
      <c r="R134" t="s">
        <v>19</v>
      </c>
      <c r="Y134" t="s">
        <v>14</v>
      </c>
      <c r="AH134" t="s">
        <v>17</v>
      </c>
      <c r="AM134" t="s">
        <v>16</v>
      </c>
      <c r="AN134">
        <v>67</v>
      </c>
      <c r="AV134" t="s">
        <v>14</v>
      </c>
      <c r="AW134">
        <v>67</v>
      </c>
      <c r="BD134" t="s">
        <v>30</v>
      </c>
      <c r="BE134">
        <v>67</v>
      </c>
      <c r="BL134" t="s">
        <v>17</v>
      </c>
      <c r="BM134">
        <v>67</v>
      </c>
    </row>
    <row r="135" spans="2:65" x14ac:dyDescent="0.25">
      <c r="B135" t="s">
        <v>22</v>
      </c>
      <c r="E135" t="s">
        <v>33</v>
      </c>
      <c r="I135" t="s">
        <v>16</v>
      </c>
      <c r="R135" t="s">
        <v>26</v>
      </c>
      <c r="Y135" t="s">
        <v>14</v>
      </c>
      <c r="AH135" t="s">
        <v>21</v>
      </c>
      <c r="AM135" t="s">
        <v>16</v>
      </c>
      <c r="AN135">
        <v>61.6</v>
      </c>
      <c r="AV135" t="s">
        <v>14</v>
      </c>
      <c r="AW135">
        <v>61.6</v>
      </c>
      <c r="BD135" t="s">
        <v>33</v>
      </c>
      <c r="BE135">
        <v>61.6</v>
      </c>
      <c r="BL135" t="s">
        <v>21</v>
      </c>
      <c r="BM135">
        <v>61.6</v>
      </c>
    </row>
    <row r="136" spans="2:65" x14ac:dyDescent="0.25">
      <c r="B136" t="s">
        <v>27</v>
      </c>
      <c r="E136" t="s">
        <v>20</v>
      </c>
      <c r="I136" t="s">
        <v>16</v>
      </c>
      <c r="R136" t="s">
        <v>26</v>
      </c>
      <c r="Y136" t="s">
        <v>14</v>
      </c>
      <c r="AH136" t="s">
        <v>17</v>
      </c>
      <c r="AM136" t="s">
        <v>16</v>
      </c>
      <c r="AN136">
        <v>56.2</v>
      </c>
      <c r="AV136" t="s">
        <v>14</v>
      </c>
      <c r="AW136">
        <v>56.2</v>
      </c>
      <c r="BD136" t="s">
        <v>20</v>
      </c>
      <c r="BE136">
        <v>56.2</v>
      </c>
      <c r="BL136" t="s">
        <v>17</v>
      </c>
      <c r="BM136">
        <v>56.2</v>
      </c>
    </row>
    <row r="137" spans="2:65" x14ac:dyDescent="0.25">
      <c r="B137" t="s">
        <v>27</v>
      </c>
      <c r="E137" t="s">
        <v>33</v>
      </c>
      <c r="I137" t="s">
        <v>31</v>
      </c>
      <c r="R137" t="s">
        <v>19</v>
      </c>
      <c r="Y137" t="s">
        <v>14</v>
      </c>
      <c r="AH137" t="s">
        <v>25</v>
      </c>
      <c r="AM137" t="s">
        <v>31</v>
      </c>
      <c r="AN137">
        <v>56.8</v>
      </c>
      <c r="AV137" t="s">
        <v>14</v>
      </c>
      <c r="AW137">
        <v>56.8</v>
      </c>
      <c r="BD137" t="s">
        <v>33</v>
      </c>
      <c r="BE137">
        <v>56.8</v>
      </c>
      <c r="BL137" t="s">
        <v>25</v>
      </c>
      <c r="BM137">
        <v>56.8</v>
      </c>
    </row>
    <row r="138" spans="2:65" x14ac:dyDescent="0.25">
      <c r="B138" t="s">
        <v>27</v>
      </c>
      <c r="E138" t="s">
        <v>33</v>
      </c>
      <c r="I138" t="s">
        <v>16</v>
      </c>
      <c r="R138" t="s">
        <v>26</v>
      </c>
      <c r="Y138" t="s">
        <v>24</v>
      </c>
      <c r="AH138" t="s">
        <v>17</v>
      </c>
      <c r="AM138" t="s">
        <v>16</v>
      </c>
      <c r="AN138">
        <v>51</v>
      </c>
      <c r="AV138" t="s">
        <v>24</v>
      </c>
      <c r="AW138">
        <v>51</v>
      </c>
      <c r="BD138" t="s">
        <v>33</v>
      </c>
      <c r="BE138">
        <v>51</v>
      </c>
      <c r="BL138" t="s">
        <v>17</v>
      </c>
      <c r="BM138">
        <v>51</v>
      </c>
    </row>
    <row r="139" spans="2:65" x14ac:dyDescent="0.25">
      <c r="B139" t="s">
        <v>22</v>
      </c>
      <c r="E139" t="s">
        <v>30</v>
      </c>
      <c r="I139" t="s">
        <v>16</v>
      </c>
      <c r="R139" t="s">
        <v>19</v>
      </c>
      <c r="Y139" t="s">
        <v>14</v>
      </c>
      <c r="AH139" t="s">
        <v>25</v>
      </c>
      <c r="AM139" t="s">
        <v>16</v>
      </c>
      <c r="AN139">
        <v>71.599999999999994</v>
      </c>
      <c r="AV139" t="s">
        <v>14</v>
      </c>
      <c r="AW139">
        <v>71.599999999999994</v>
      </c>
      <c r="BD139" t="s">
        <v>30</v>
      </c>
      <c r="BE139">
        <v>71.599999999999994</v>
      </c>
      <c r="BL139" t="s">
        <v>25</v>
      </c>
      <c r="BM139">
        <v>71.599999999999994</v>
      </c>
    </row>
    <row r="140" spans="2:65" x14ac:dyDescent="0.25">
      <c r="B140" t="s">
        <v>18</v>
      </c>
      <c r="E140" t="s">
        <v>32</v>
      </c>
      <c r="I140" t="s">
        <v>31</v>
      </c>
      <c r="R140" t="s">
        <v>13</v>
      </c>
      <c r="Y140" t="s">
        <v>24</v>
      </c>
      <c r="AH140" t="s">
        <v>21</v>
      </c>
      <c r="AM140" t="s">
        <v>31</v>
      </c>
      <c r="AN140">
        <v>95.2</v>
      </c>
      <c r="AV140" t="s">
        <v>24</v>
      </c>
      <c r="AW140">
        <v>95.2</v>
      </c>
      <c r="BD140" t="s">
        <v>32</v>
      </c>
      <c r="BE140">
        <v>95.2</v>
      </c>
      <c r="BL140" t="s">
        <v>21</v>
      </c>
      <c r="BM140">
        <v>95.2</v>
      </c>
    </row>
    <row r="141" spans="2:65" x14ac:dyDescent="0.25">
      <c r="B141" t="s">
        <v>27</v>
      </c>
      <c r="E141" t="s">
        <v>33</v>
      </c>
      <c r="I141" t="s">
        <v>16</v>
      </c>
      <c r="R141" t="s">
        <v>19</v>
      </c>
      <c r="Y141" t="s">
        <v>14</v>
      </c>
      <c r="AH141" t="s">
        <v>21</v>
      </c>
      <c r="AM141" t="s">
        <v>16</v>
      </c>
      <c r="AN141">
        <v>51.6</v>
      </c>
      <c r="AV141" t="s">
        <v>14</v>
      </c>
      <c r="AW141">
        <v>51.6</v>
      </c>
      <c r="BD141" t="s">
        <v>33</v>
      </c>
      <c r="BE141">
        <v>51.6</v>
      </c>
      <c r="BL141" t="s">
        <v>21</v>
      </c>
      <c r="BM141">
        <v>51.6</v>
      </c>
    </row>
    <row r="142" spans="2:65" x14ac:dyDescent="0.25">
      <c r="B142" t="s">
        <v>27</v>
      </c>
      <c r="E142" t="s">
        <v>20</v>
      </c>
      <c r="I142" t="s">
        <v>31</v>
      </c>
      <c r="R142" t="s">
        <v>26</v>
      </c>
      <c r="Y142" t="s">
        <v>29</v>
      </c>
      <c r="AH142" t="s">
        <v>25</v>
      </c>
      <c r="AM142" t="s">
        <v>31</v>
      </c>
      <c r="AN142">
        <v>58.6</v>
      </c>
      <c r="AV142" t="s">
        <v>29</v>
      </c>
      <c r="AW142">
        <v>58.6</v>
      </c>
      <c r="BD142" t="s">
        <v>20</v>
      </c>
      <c r="BE142">
        <v>58.6</v>
      </c>
      <c r="BL142" t="s">
        <v>25</v>
      </c>
      <c r="BM142">
        <v>58.6</v>
      </c>
    </row>
    <row r="143" spans="2:65" x14ac:dyDescent="0.25">
      <c r="B143" t="s">
        <v>22</v>
      </c>
      <c r="E143" t="s">
        <v>30</v>
      </c>
      <c r="I143" t="s">
        <v>16</v>
      </c>
      <c r="R143" t="s">
        <v>23</v>
      </c>
      <c r="Y143" t="s">
        <v>14</v>
      </c>
      <c r="AH143" t="s">
        <v>17</v>
      </c>
      <c r="AM143" t="s">
        <v>16</v>
      </c>
      <c r="AN143">
        <v>68.8</v>
      </c>
      <c r="AV143" t="s">
        <v>14</v>
      </c>
      <c r="AW143">
        <v>68.8</v>
      </c>
      <c r="BD143" t="s">
        <v>30</v>
      </c>
      <c r="BE143">
        <v>68.8</v>
      </c>
      <c r="BL143" t="s">
        <v>17</v>
      </c>
      <c r="BM143">
        <v>68.8</v>
      </c>
    </row>
    <row r="144" spans="2:65" x14ac:dyDescent="0.25">
      <c r="B144" t="s">
        <v>22</v>
      </c>
      <c r="E144" t="s">
        <v>20</v>
      </c>
      <c r="I144" t="s">
        <v>16</v>
      </c>
      <c r="R144" t="s">
        <v>28</v>
      </c>
      <c r="Y144" t="s">
        <v>24</v>
      </c>
      <c r="AH144" t="s">
        <v>21</v>
      </c>
      <c r="AM144" t="s">
        <v>16</v>
      </c>
      <c r="AN144">
        <v>66.8</v>
      </c>
      <c r="AV144" t="s">
        <v>24</v>
      </c>
      <c r="AW144">
        <v>66.8</v>
      </c>
      <c r="BD144" t="s">
        <v>20</v>
      </c>
      <c r="BE144">
        <v>66.8</v>
      </c>
      <c r="BL144" t="s">
        <v>21</v>
      </c>
      <c r="BM144">
        <v>66.8</v>
      </c>
    </row>
    <row r="145" spans="2:65" x14ac:dyDescent="0.25">
      <c r="B145" t="s">
        <v>27</v>
      </c>
      <c r="E145" t="s">
        <v>33</v>
      </c>
      <c r="I145" t="s">
        <v>16</v>
      </c>
      <c r="R145" t="s">
        <v>13</v>
      </c>
      <c r="Y145" t="s">
        <v>24</v>
      </c>
      <c r="AH145" t="s">
        <v>21</v>
      </c>
      <c r="AM145" t="s">
        <v>16</v>
      </c>
      <c r="AN145">
        <v>58.8</v>
      </c>
      <c r="AV145" t="s">
        <v>24</v>
      </c>
      <c r="AW145">
        <v>58.8</v>
      </c>
      <c r="BD145" t="s">
        <v>33</v>
      </c>
      <c r="BE145">
        <v>58.8</v>
      </c>
      <c r="BL145" t="s">
        <v>21</v>
      </c>
      <c r="BM145">
        <v>58.8</v>
      </c>
    </row>
    <row r="146" spans="2:65" x14ac:dyDescent="0.25">
      <c r="B146" t="s">
        <v>22</v>
      </c>
      <c r="E146" t="s">
        <v>30</v>
      </c>
      <c r="I146" t="s">
        <v>31</v>
      </c>
      <c r="R146" t="s">
        <v>28</v>
      </c>
      <c r="Y146" t="s">
        <v>29</v>
      </c>
      <c r="AH146" t="s">
        <v>25</v>
      </c>
      <c r="AM146" t="s">
        <v>31</v>
      </c>
      <c r="AN146">
        <v>75.599999999999994</v>
      </c>
      <c r="AV146" t="s">
        <v>29</v>
      </c>
      <c r="AW146">
        <v>75.599999999999994</v>
      </c>
      <c r="BD146" t="s">
        <v>30</v>
      </c>
      <c r="BE146">
        <v>75.599999999999994</v>
      </c>
      <c r="BL146" t="s">
        <v>25</v>
      </c>
      <c r="BM146">
        <v>75.599999999999994</v>
      </c>
    </row>
    <row r="147" spans="2:65" x14ac:dyDescent="0.25">
      <c r="B147" t="s">
        <v>18</v>
      </c>
      <c r="E147" t="s">
        <v>15</v>
      </c>
      <c r="I147" t="s">
        <v>31</v>
      </c>
      <c r="R147" t="s">
        <v>13</v>
      </c>
      <c r="Y147" t="s">
        <v>29</v>
      </c>
      <c r="AH147" t="s">
        <v>21</v>
      </c>
      <c r="AM147" t="s">
        <v>31</v>
      </c>
      <c r="AN147">
        <v>87.8</v>
      </c>
      <c r="AV147" t="s">
        <v>29</v>
      </c>
      <c r="AW147">
        <v>87.8</v>
      </c>
      <c r="BD147" t="s">
        <v>15</v>
      </c>
      <c r="BE147">
        <v>87.8</v>
      </c>
      <c r="BL147" t="s">
        <v>21</v>
      </c>
      <c r="BM147">
        <v>87.8</v>
      </c>
    </row>
    <row r="148" spans="2:65" x14ac:dyDescent="0.25">
      <c r="B148" t="s">
        <v>18</v>
      </c>
      <c r="E148" t="s">
        <v>15</v>
      </c>
      <c r="I148" t="s">
        <v>31</v>
      </c>
      <c r="R148" t="s">
        <v>26</v>
      </c>
      <c r="Y148" t="s">
        <v>14</v>
      </c>
      <c r="AH148" t="s">
        <v>21</v>
      </c>
      <c r="AM148" t="s">
        <v>31</v>
      </c>
      <c r="AN148">
        <v>86.2</v>
      </c>
      <c r="AV148" t="s">
        <v>14</v>
      </c>
      <c r="AW148">
        <v>86.2</v>
      </c>
      <c r="BD148" t="s">
        <v>15</v>
      </c>
      <c r="BE148">
        <v>86.2</v>
      </c>
      <c r="BL148" t="s">
        <v>21</v>
      </c>
      <c r="BM148">
        <v>86.2</v>
      </c>
    </row>
    <row r="149" spans="2:65" x14ac:dyDescent="0.25">
      <c r="B149" t="s">
        <v>22</v>
      </c>
      <c r="E149" t="s">
        <v>30</v>
      </c>
      <c r="I149" t="s">
        <v>31</v>
      </c>
      <c r="R149" t="s">
        <v>13</v>
      </c>
      <c r="Y149" t="s">
        <v>29</v>
      </c>
      <c r="AH149" t="s">
        <v>17</v>
      </c>
      <c r="AM149" t="s">
        <v>31</v>
      </c>
      <c r="AN149">
        <v>62</v>
      </c>
      <c r="AV149" t="s">
        <v>29</v>
      </c>
      <c r="AW149">
        <v>62</v>
      </c>
      <c r="BD149" t="s">
        <v>30</v>
      </c>
      <c r="BE149">
        <v>62</v>
      </c>
      <c r="BL149" t="s">
        <v>17</v>
      </c>
      <c r="BM149">
        <v>62</v>
      </c>
    </row>
    <row r="150" spans="2:65" x14ac:dyDescent="0.25">
      <c r="B150" t="s">
        <v>27</v>
      </c>
      <c r="E150" t="s">
        <v>33</v>
      </c>
      <c r="I150" t="s">
        <v>16</v>
      </c>
      <c r="R150" t="s">
        <v>19</v>
      </c>
      <c r="Y150" t="s">
        <v>29</v>
      </c>
      <c r="AH150" t="s">
        <v>25</v>
      </c>
      <c r="AM150" t="s">
        <v>16</v>
      </c>
      <c r="AN150">
        <v>55.6</v>
      </c>
      <c r="AV150" t="s">
        <v>29</v>
      </c>
      <c r="AW150">
        <v>55.6</v>
      </c>
      <c r="BD150" t="s">
        <v>33</v>
      </c>
      <c r="BE150">
        <v>55.6</v>
      </c>
      <c r="BL150" t="s">
        <v>25</v>
      </c>
      <c r="BM150">
        <v>55.6</v>
      </c>
    </row>
    <row r="151" spans="2:65" x14ac:dyDescent="0.25">
      <c r="B151" t="s">
        <v>22</v>
      </c>
      <c r="E151" t="s">
        <v>30</v>
      </c>
      <c r="I151" t="s">
        <v>16</v>
      </c>
      <c r="R151" t="s">
        <v>28</v>
      </c>
      <c r="Y151" t="s">
        <v>24</v>
      </c>
      <c r="AH151" t="s">
        <v>17</v>
      </c>
      <c r="AM151" t="s">
        <v>16</v>
      </c>
      <c r="AN151">
        <v>65</v>
      </c>
      <c r="AV151" t="s">
        <v>24</v>
      </c>
      <c r="AW151">
        <v>65</v>
      </c>
      <c r="BD151" t="s">
        <v>30</v>
      </c>
      <c r="BE151">
        <v>65</v>
      </c>
      <c r="BL151" t="s">
        <v>17</v>
      </c>
      <c r="BM151">
        <v>65</v>
      </c>
    </row>
    <row r="152" spans="2:65" x14ac:dyDescent="0.25">
      <c r="B152" t="s">
        <v>27</v>
      </c>
      <c r="E152" t="s">
        <v>33</v>
      </c>
      <c r="I152" t="s">
        <v>31</v>
      </c>
      <c r="R152" t="s">
        <v>26</v>
      </c>
      <c r="Y152" t="s">
        <v>14</v>
      </c>
      <c r="AH152" t="s">
        <v>25</v>
      </c>
      <c r="AM152" t="s">
        <v>31</v>
      </c>
      <c r="AN152">
        <v>53.4</v>
      </c>
      <c r="AV152" t="s">
        <v>14</v>
      </c>
      <c r="AW152">
        <v>53.4</v>
      </c>
      <c r="BD152" t="s">
        <v>33</v>
      </c>
      <c r="BE152">
        <v>53.4</v>
      </c>
      <c r="BL152" t="s">
        <v>25</v>
      </c>
      <c r="BM152">
        <v>53.4</v>
      </c>
    </row>
    <row r="153" spans="2:65" x14ac:dyDescent="0.25">
      <c r="B153" t="s">
        <v>22</v>
      </c>
      <c r="E153" t="s">
        <v>32</v>
      </c>
      <c r="I153" t="s">
        <v>31</v>
      </c>
      <c r="R153" t="s">
        <v>19</v>
      </c>
      <c r="Y153" t="s">
        <v>14</v>
      </c>
      <c r="AH153" t="s">
        <v>25</v>
      </c>
      <c r="AM153" t="s">
        <v>31</v>
      </c>
      <c r="AN153">
        <v>74.8</v>
      </c>
      <c r="AV153" t="s">
        <v>14</v>
      </c>
      <c r="AW153">
        <v>74.8</v>
      </c>
      <c r="BD153" t="s">
        <v>32</v>
      </c>
      <c r="BE153">
        <v>74.8</v>
      </c>
      <c r="BL153" t="s">
        <v>25</v>
      </c>
      <c r="BM153">
        <v>74.8</v>
      </c>
    </row>
    <row r="154" spans="2:65" x14ac:dyDescent="0.25">
      <c r="B154" t="s">
        <v>22</v>
      </c>
      <c r="E154" t="s">
        <v>32</v>
      </c>
      <c r="I154" t="s">
        <v>16</v>
      </c>
      <c r="R154" t="s">
        <v>23</v>
      </c>
      <c r="Y154" t="s">
        <v>29</v>
      </c>
      <c r="AH154" t="s">
        <v>25</v>
      </c>
      <c r="AM154" t="s">
        <v>16</v>
      </c>
      <c r="AN154">
        <v>77.8</v>
      </c>
      <c r="AV154" t="s">
        <v>29</v>
      </c>
      <c r="AW154">
        <v>77.8</v>
      </c>
      <c r="BD154" t="s">
        <v>32</v>
      </c>
      <c r="BE154">
        <v>77.8</v>
      </c>
      <c r="BL154" t="s">
        <v>25</v>
      </c>
      <c r="BM154">
        <v>77.8</v>
      </c>
    </row>
    <row r="155" spans="2:65" x14ac:dyDescent="0.25">
      <c r="B155" t="s">
        <v>27</v>
      </c>
      <c r="E155" t="s">
        <v>33</v>
      </c>
      <c r="I155" t="s">
        <v>16</v>
      </c>
      <c r="R155" t="s">
        <v>26</v>
      </c>
      <c r="Y155" t="s">
        <v>24</v>
      </c>
      <c r="AH155" t="s">
        <v>17</v>
      </c>
      <c r="AM155" t="s">
        <v>16</v>
      </c>
      <c r="AN155">
        <v>45.6</v>
      </c>
      <c r="AV155" t="s">
        <v>24</v>
      </c>
      <c r="AW155">
        <v>45.6</v>
      </c>
      <c r="BD155" t="s">
        <v>33</v>
      </c>
      <c r="BE155">
        <v>45.6</v>
      </c>
      <c r="BL155" t="s">
        <v>17</v>
      </c>
      <c r="BM155">
        <v>45.6</v>
      </c>
    </row>
    <row r="156" spans="2:65" x14ac:dyDescent="0.25">
      <c r="B156" t="s">
        <v>22</v>
      </c>
      <c r="E156" t="s">
        <v>30</v>
      </c>
      <c r="I156" t="s">
        <v>31</v>
      </c>
      <c r="R156" t="s">
        <v>19</v>
      </c>
      <c r="Y156" t="s">
        <v>14</v>
      </c>
      <c r="AH156" t="s">
        <v>17</v>
      </c>
      <c r="AM156" t="s">
        <v>31</v>
      </c>
      <c r="AN156">
        <v>65.8</v>
      </c>
      <c r="AV156" t="s">
        <v>14</v>
      </c>
      <c r="AW156">
        <v>65.8</v>
      </c>
      <c r="BD156" t="s">
        <v>30</v>
      </c>
      <c r="BE156">
        <v>65.8</v>
      </c>
      <c r="BL156" t="s">
        <v>17</v>
      </c>
      <c r="BM156">
        <v>65.8</v>
      </c>
    </row>
    <row r="157" spans="2:65" x14ac:dyDescent="0.25">
      <c r="B157" t="s">
        <v>18</v>
      </c>
      <c r="E157" t="s">
        <v>15</v>
      </c>
      <c r="I157" t="s">
        <v>16</v>
      </c>
      <c r="R157" t="s">
        <v>28</v>
      </c>
      <c r="Y157" t="s">
        <v>29</v>
      </c>
      <c r="AH157" t="s">
        <v>25</v>
      </c>
      <c r="AM157" t="s">
        <v>16</v>
      </c>
      <c r="AN157">
        <v>95.4</v>
      </c>
      <c r="AV157" t="s">
        <v>29</v>
      </c>
      <c r="AW157">
        <v>95.4</v>
      </c>
      <c r="BD157" t="s">
        <v>15</v>
      </c>
      <c r="BE157">
        <v>95.4</v>
      </c>
      <c r="BL157" t="s">
        <v>25</v>
      </c>
      <c r="BM157">
        <v>95.4</v>
      </c>
    </row>
    <row r="158" spans="2:65" x14ac:dyDescent="0.25">
      <c r="B158" t="s">
        <v>22</v>
      </c>
      <c r="E158" t="s">
        <v>30</v>
      </c>
      <c r="I158" t="s">
        <v>31</v>
      </c>
      <c r="R158" t="s">
        <v>19</v>
      </c>
      <c r="Y158" t="s">
        <v>24</v>
      </c>
      <c r="AH158" t="s">
        <v>17</v>
      </c>
      <c r="AM158" t="s">
        <v>31</v>
      </c>
      <c r="AN158">
        <v>68.8</v>
      </c>
      <c r="AV158" t="s">
        <v>24</v>
      </c>
      <c r="AW158">
        <v>68.8</v>
      </c>
      <c r="BD158" t="s">
        <v>30</v>
      </c>
      <c r="BE158">
        <v>68.8</v>
      </c>
      <c r="BL158" t="s">
        <v>17</v>
      </c>
      <c r="BM158">
        <v>68.8</v>
      </c>
    </row>
    <row r="159" spans="2:65" x14ac:dyDescent="0.25">
      <c r="B159" t="s">
        <v>22</v>
      </c>
      <c r="E159" t="s">
        <v>20</v>
      </c>
      <c r="I159" t="s">
        <v>31</v>
      </c>
      <c r="R159" t="s">
        <v>13</v>
      </c>
      <c r="Y159" t="s">
        <v>24</v>
      </c>
      <c r="AH159" t="s">
        <v>21</v>
      </c>
      <c r="AM159" t="s">
        <v>31</v>
      </c>
      <c r="AN159">
        <v>77.8</v>
      </c>
      <c r="AV159" t="s">
        <v>24</v>
      </c>
      <c r="AW159">
        <v>77.8</v>
      </c>
      <c r="BD159" t="s">
        <v>20</v>
      </c>
      <c r="BE159">
        <v>77.8</v>
      </c>
      <c r="BL159" t="s">
        <v>21</v>
      </c>
      <c r="BM159">
        <v>77.8</v>
      </c>
    </row>
    <row r="160" spans="2:65" x14ac:dyDescent="0.25">
      <c r="B160" t="s">
        <v>18</v>
      </c>
      <c r="E160" t="s">
        <v>15</v>
      </c>
      <c r="I160" t="s">
        <v>16</v>
      </c>
      <c r="R160" t="s">
        <v>23</v>
      </c>
      <c r="Y160" t="s">
        <v>24</v>
      </c>
      <c r="AH160" t="s">
        <v>25</v>
      </c>
      <c r="AM160" t="s">
        <v>16</v>
      </c>
      <c r="AN160">
        <v>91</v>
      </c>
      <c r="AV160" t="s">
        <v>24</v>
      </c>
      <c r="AW160">
        <v>91</v>
      </c>
      <c r="BD160" t="s">
        <v>15</v>
      </c>
      <c r="BE160">
        <v>91</v>
      </c>
      <c r="BL160" t="s">
        <v>25</v>
      </c>
      <c r="BM160">
        <v>91</v>
      </c>
    </row>
    <row r="161" spans="2:65" x14ac:dyDescent="0.25">
      <c r="B161" t="s">
        <v>27</v>
      </c>
      <c r="E161" t="s">
        <v>33</v>
      </c>
      <c r="I161" t="s">
        <v>31</v>
      </c>
      <c r="R161" t="s">
        <v>19</v>
      </c>
      <c r="Y161" t="s">
        <v>24</v>
      </c>
      <c r="AH161" t="s">
        <v>21</v>
      </c>
      <c r="AM161" t="s">
        <v>31</v>
      </c>
      <c r="AN161">
        <v>56.8</v>
      </c>
      <c r="AV161" t="s">
        <v>24</v>
      </c>
      <c r="AW161">
        <v>56.8</v>
      </c>
      <c r="BD161" t="s">
        <v>33</v>
      </c>
      <c r="BE161">
        <v>56.8</v>
      </c>
      <c r="BL161" t="s">
        <v>21</v>
      </c>
      <c r="BM161">
        <v>56.8</v>
      </c>
    </row>
    <row r="162" spans="2:65" x14ac:dyDescent="0.25">
      <c r="B162" t="s">
        <v>18</v>
      </c>
      <c r="E162" t="s">
        <v>32</v>
      </c>
      <c r="I162" t="s">
        <v>16</v>
      </c>
      <c r="R162" t="s">
        <v>13</v>
      </c>
      <c r="Y162" t="s">
        <v>24</v>
      </c>
      <c r="AH162" t="s">
        <v>21</v>
      </c>
      <c r="AM162" t="s">
        <v>16</v>
      </c>
      <c r="AN162">
        <v>80.400000000000006</v>
      </c>
      <c r="AV162" t="s">
        <v>24</v>
      </c>
      <c r="AW162">
        <v>80.400000000000006</v>
      </c>
      <c r="BD162" t="s">
        <v>32</v>
      </c>
      <c r="BE162">
        <v>80.400000000000006</v>
      </c>
      <c r="BL162" t="s">
        <v>21</v>
      </c>
      <c r="BM162">
        <v>80.400000000000006</v>
      </c>
    </row>
    <row r="163" spans="2:65" x14ac:dyDescent="0.25">
      <c r="B163" t="s">
        <v>22</v>
      </c>
      <c r="E163" t="s">
        <v>20</v>
      </c>
      <c r="I163" t="s">
        <v>31</v>
      </c>
      <c r="R163" t="s">
        <v>28</v>
      </c>
      <c r="Y163" t="s">
        <v>29</v>
      </c>
      <c r="AH163" t="s">
        <v>25</v>
      </c>
      <c r="AM163" t="s">
        <v>31</v>
      </c>
      <c r="AN163">
        <v>66</v>
      </c>
      <c r="AV163" t="s">
        <v>29</v>
      </c>
      <c r="AW163">
        <v>66</v>
      </c>
      <c r="BD163" t="s">
        <v>20</v>
      </c>
      <c r="BE163">
        <v>66</v>
      </c>
      <c r="BL163" t="s">
        <v>25</v>
      </c>
      <c r="BM163">
        <v>66</v>
      </c>
    </row>
    <row r="164" spans="2:65" x14ac:dyDescent="0.25">
      <c r="B164" t="s">
        <v>18</v>
      </c>
      <c r="E164" t="s">
        <v>32</v>
      </c>
      <c r="I164" t="s">
        <v>16</v>
      </c>
      <c r="R164" t="s">
        <v>28</v>
      </c>
      <c r="Y164" t="s">
        <v>24</v>
      </c>
      <c r="AH164" t="s">
        <v>21</v>
      </c>
      <c r="AM164" t="s">
        <v>16</v>
      </c>
      <c r="AN164">
        <v>83</v>
      </c>
      <c r="AV164" t="s">
        <v>24</v>
      </c>
      <c r="AW164">
        <v>83</v>
      </c>
      <c r="BD164" t="s">
        <v>32</v>
      </c>
      <c r="BE164">
        <v>83</v>
      </c>
      <c r="BL164" t="s">
        <v>21</v>
      </c>
      <c r="BM164">
        <v>83</v>
      </c>
    </row>
    <row r="165" spans="2:65" x14ac:dyDescent="0.25">
      <c r="B165" t="s">
        <v>22</v>
      </c>
      <c r="E165" t="s">
        <v>20</v>
      </c>
      <c r="I165" t="s">
        <v>31</v>
      </c>
      <c r="R165" t="s">
        <v>23</v>
      </c>
      <c r="Y165" t="s">
        <v>29</v>
      </c>
      <c r="AH165" t="s">
        <v>21</v>
      </c>
      <c r="AM165" t="s">
        <v>31</v>
      </c>
      <c r="AN165">
        <v>74</v>
      </c>
      <c r="AV165" t="s">
        <v>29</v>
      </c>
      <c r="AW165">
        <v>74</v>
      </c>
      <c r="BD165" t="s">
        <v>20</v>
      </c>
      <c r="BE165">
        <v>74</v>
      </c>
      <c r="BL165" t="s">
        <v>21</v>
      </c>
      <c r="BM165">
        <v>74</v>
      </c>
    </row>
    <row r="166" spans="2:65" x14ac:dyDescent="0.25">
      <c r="B166" t="s">
        <v>22</v>
      </c>
      <c r="E166" t="s">
        <v>32</v>
      </c>
      <c r="I166" t="s">
        <v>16</v>
      </c>
      <c r="R166" t="s">
        <v>23</v>
      </c>
      <c r="Y166" t="s">
        <v>14</v>
      </c>
      <c r="AH166" t="s">
        <v>17</v>
      </c>
      <c r="AM166" t="s">
        <v>16</v>
      </c>
      <c r="AN166">
        <v>74.400000000000006</v>
      </c>
      <c r="AV166" t="s">
        <v>14</v>
      </c>
      <c r="AW166">
        <v>74.400000000000006</v>
      </c>
      <c r="BD166" t="s">
        <v>32</v>
      </c>
      <c r="BE166">
        <v>74.400000000000006</v>
      </c>
      <c r="BL166" t="s">
        <v>17</v>
      </c>
      <c r="BM166">
        <v>74.400000000000006</v>
      </c>
    </row>
    <row r="167" spans="2:65" x14ac:dyDescent="0.25">
      <c r="B167" t="s">
        <v>18</v>
      </c>
      <c r="E167" t="s">
        <v>32</v>
      </c>
      <c r="I167" t="s">
        <v>31</v>
      </c>
      <c r="R167" t="s">
        <v>26</v>
      </c>
      <c r="Y167" t="s">
        <v>14</v>
      </c>
      <c r="AH167" t="s">
        <v>25</v>
      </c>
      <c r="AM167" t="s">
        <v>31</v>
      </c>
      <c r="AN167">
        <v>85</v>
      </c>
      <c r="AV167" t="s">
        <v>14</v>
      </c>
      <c r="AW167">
        <v>85</v>
      </c>
      <c r="BD167" t="s">
        <v>32</v>
      </c>
      <c r="BE167">
        <v>85</v>
      </c>
      <c r="BL167" t="s">
        <v>25</v>
      </c>
      <c r="BM167">
        <v>85</v>
      </c>
    </row>
    <row r="168" spans="2:65" x14ac:dyDescent="0.25">
      <c r="B168" t="s">
        <v>22</v>
      </c>
      <c r="E168" t="s">
        <v>20</v>
      </c>
      <c r="I168" t="s">
        <v>16</v>
      </c>
      <c r="R168" t="s">
        <v>13</v>
      </c>
      <c r="Y168" t="s">
        <v>14</v>
      </c>
      <c r="AH168" t="s">
        <v>21</v>
      </c>
      <c r="AM168" t="s">
        <v>16</v>
      </c>
      <c r="AN168">
        <v>66.400000000000006</v>
      </c>
      <c r="AV168" t="s">
        <v>14</v>
      </c>
      <c r="AW168">
        <v>66.400000000000006</v>
      </c>
      <c r="BD168" t="s">
        <v>20</v>
      </c>
      <c r="BE168">
        <v>66.400000000000006</v>
      </c>
      <c r="BL168" t="s">
        <v>21</v>
      </c>
      <c r="BM168">
        <v>66.400000000000006</v>
      </c>
    </row>
    <row r="169" spans="2:65" x14ac:dyDescent="0.25">
      <c r="B169" t="s">
        <v>27</v>
      </c>
      <c r="E169" t="s">
        <v>20</v>
      </c>
      <c r="I169" t="s">
        <v>31</v>
      </c>
      <c r="R169" t="s">
        <v>26</v>
      </c>
      <c r="Y169" t="s">
        <v>29</v>
      </c>
      <c r="AH169" t="s">
        <v>17</v>
      </c>
      <c r="AM169" t="s">
        <v>31</v>
      </c>
      <c r="AN169">
        <v>58.8</v>
      </c>
      <c r="AV169" t="s">
        <v>29</v>
      </c>
      <c r="AW169">
        <v>58.8</v>
      </c>
      <c r="BD169" t="s">
        <v>20</v>
      </c>
      <c r="BE169">
        <v>58.8</v>
      </c>
      <c r="BL169" t="s">
        <v>17</v>
      </c>
      <c r="BM169">
        <v>58.8</v>
      </c>
    </row>
    <row r="170" spans="2:65" x14ac:dyDescent="0.25">
      <c r="B170" t="s">
        <v>22</v>
      </c>
      <c r="E170" t="s">
        <v>30</v>
      </c>
      <c r="I170" t="s">
        <v>31</v>
      </c>
      <c r="R170" t="s">
        <v>28</v>
      </c>
      <c r="Y170" t="s">
        <v>24</v>
      </c>
      <c r="AH170" t="s">
        <v>25</v>
      </c>
      <c r="AM170" t="s">
        <v>31</v>
      </c>
      <c r="AN170">
        <v>72.599999999999994</v>
      </c>
      <c r="AV170" t="s">
        <v>24</v>
      </c>
      <c r="AW170">
        <v>72.599999999999994</v>
      </c>
      <c r="BD170" t="s">
        <v>30</v>
      </c>
      <c r="BE170">
        <v>72.599999999999994</v>
      </c>
      <c r="BL170" t="s">
        <v>25</v>
      </c>
      <c r="BM170">
        <v>72.599999999999994</v>
      </c>
    </row>
    <row r="171" spans="2:65" x14ac:dyDescent="0.25">
      <c r="B171" t="s">
        <v>18</v>
      </c>
      <c r="E171" t="s">
        <v>30</v>
      </c>
      <c r="I171" t="s">
        <v>16</v>
      </c>
      <c r="R171" t="s">
        <v>28</v>
      </c>
      <c r="Y171" t="s">
        <v>24</v>
      </c>
      <c r="AH171" t="s">
        <v>21</v>
      </c>
      <c r="AM171" t="s">
        <v>16</v>
      </c>
      <c r="AN171">
        <v>87.8</v>
      </c>
      <c r="AV171" t="s">
        <v>24</v>
      </c>
      <c r="AW171">
        <v>87.8</v>
      </c>
      <c r="BD171" t="s">
        <v>30</v>
      </c>
      <c r="BE171">
        <v>87.8</v>
      </c>
      <c r="BL171" t="s">
        <v>21</v>
      </c>
      <c r="BM171">
        <v>87.8</v>
      </c>
    </row>
    <row r="172" spans="2:65" x14ac:dyDescent="0.25">
      <c r="B172" t="s">
        <v>18</v>
      </c>
      <c r="E172" t="s">
        <v>15</v>
      </c>
      <c r="I172" t="s">
        <v>16</v>
      </c>
      <c r="R172" t="s">
        <v>28</v>
      </c>
      <c r="Y172" t="s">
        <v>14</v>
      </c>
      <c r="AH172" t="s">
        <v>17</v>
      </c>
      <c r="AM172" t="s">
        <v>16</v>
      </c>
      <c r="AN172">
        <v>83.4</v>
      </c>
      <c r="AV172" t="s">
        <v>14</v>
      </c>
      <c r="AW172">
        <v>83.4</v>
      </c>
      <c r="BD172" t="s">
        <v>15</v>
      </c>
      <c r="BE172">
        <v>83.4</v>
      </c>
      <c r="BL172" t="s">
        <v>17</v>
      </c>
      <c r="BM172">
        <v>83.4</v>
      </c>
    </row>
    <row r="173" spans="2:65" x14ac:dyDescent="0.25">
      <c r="B173" t="s">
        <v>27</v>
      </c>
      <c r="E173" t="s">
        <v>33</v>
      </c>
      <c r="I173" t="s">
        <v>31</v>
      </c>
      <c r="R173" t="s">
        <v>13</v>
      </c>
      <c r="Y173" t="s">
        <v>29</v>
      </c>
      <c r="AH173" t="s">
        <v>17</v>
      </c>
      <c r="AM173" t="s">
        <v>31</v>
      </c>
      <c r="AN173">
        <v>46</v>
      </c>
      <c r="AV173" t="s">
        <v>29</v>
      </c>
      <c r="AW173">
        <v>46</v>
      </c>
      <c r="BD173" t="s">
        <v>33</v>
      </c>
      <c r="BE173">
        <v>46</v>
      </c>
      <c r="BL173" t="s">
        <v>17</v>
      </c>
      <c r="BM173">
        <v>46</v>
      </c>
    </row>
    <row r="174" spans="2:65" x14ac:dyDescent="0.25">
      <c r="B174" t="s">
        <v>22</v>
      </c>
      <c r="E174" t="s">
        <v>20</v>
      </c>
      <c r="I174" t="s">
        <v>31</v>
      </c>
      <c r="R174" t="s">
        <v>13</v>
      </c>
      <c r="Y174" t="s">
        <v>29</v>
      </c>
      <c r="AH174" t="s">
        <v>25</v>
      </c>
      <c r="AM174" t="s">
        <v>31</v>
      </c>
      <c r="AN174">
        <v>65</v>
      </c>
      <c r="AV174" t="s">
        <v>29</v>
      </c>
      <c r="AW174">
        <v>65</v>
      </c>
      <c r="BD174" t="s">
        <v>20</v>
      </c>
      <c r="BE174">
        <v>65</v>
      </c>
      <c r="BL174" t="s">
        <v>25</v>
      </c>
      <c r="BM174">
        <v>65</v>
      </c>
    </row>
    <row r="175" spans="2:65" x14ac:dyDescent="0.25">
      <c r="B175" t="s">
        <v>22</v>
      </c>
      <c r="E175" t="s">
        <v>30</v>
      </c>
      <c r="I175" t="s">
        <v>16</v>
      </c>
      <c r="R175" t="s">
        <v>23</v>
      </c>
      <c r="Y175" t="s">
        <v>29</v>
      </c>
      <c r="AH175" t="s">
        <v>21</v>
      </c>
      <c r="AM175" t="s">
        <v>16</v>
      </c>
      <c r="AN175">
        <v>78.8</v>
      </c>
      <c r="AV175" t="s">
        <v>29</v>
      </c>
      <c r="AW175">
        <v>78.8</v>
      </c>
      <c r="BD175" t="s">
        <v>30</v>
      </c>
      <c r="BE175">
        <v>78.8</v>
      </c>
      <c r="BL175" t="s">
        <v>21</v>
      </c>
      <c r="BM175">
        <v>78.8</v>
      </c>
    </row>
    <row r="176" spans="2:65" x14ac:dyDescent="0.25">
      <c r="B176" t="s">
        <v>22</v>
      </c>
      <c r="E176" t="s">
        <v>32</v>
      </c>
      <c r="I176" t="s">
        <v>31</v>
      </c>
      <c r="R176" t="s">
        <v>28</v>
      </c>
      <c r="Y176" t="s">
        <v>24</v>
      </c>
      <c r="AH176" t="s">
        <v>17</v>
      </c>
      <c r="AM176" t="s">
        <v>31</v>
      </c>
      <c r="AN176">
        <v>74.400000000000006</v>
      </c>
      <c r="AV176" t="s">
        <v>24</v>
      </c>
      <c r="AW176">
        <v>74.400000000000006</v>
      </c>
      <c r="BD176" t="s">
        <v>32</v>
      </c>
      <c r="BE176">
        <v>74.400000000000006</v>
      </c>
      <c r="BL176" t="s">
        <v>17</v>
      </c>
      <c r="BM176">
        <v>74.400000000000006</v>
      </c>
    </row>
    <row r="177" spans="2:65" x14ac:dyDescent="0.25">
      <c r="B177" t="s">
        <v>18</v>
      </c>
      <c r="E177" t="s">
        <v>15</v>
      </c>
      <c r="I177" t="s">
        <v>16</v>
      </c>
      <c r="R177" t="s">
        <v>19</v>
      </c>
      <c r="Y177" t="s">
        <v>14</v>
      </c>
      <c r="AH177" t="s">
        <v>21</v>
      </c>
      <c r="AM177" t="s">
        <v>16</v>
      </c>
      <c r="AN177">
        <v>82.8</v>
      </c>
      <c r="AV177" t="s">
        <v>14</v>
      </c>
      <c r="AW177">
        <v>82.8</v>
      </c>
      <c r="BD177" t="s">
        <v>15</v>
      </c>
      <c r="BE177">
        <v>82.8</v>
      </c>
      <c r="BL177" t="s">
        <v>21</v>
      </c>
      <c r="BM177">
        <v>82.8</v>
      </c>
    </row>
    <row r="178" spans="2:65" x14ac:dyDescent="0.25">
      <c r="B178" t="s">
        <v>22</v>
      </c>
      <c r="E178" t="s">
        <v>15</v>
      </c>
      <c r="I178" t="s">
        <v>16</v>
      </c>
      <c r="R178" t="s">
        <v>13</v>
      </c>
      <c r="Y178" t="s">
        <v>29</v>
      </c>
      <c r="AH178" t="s">
        <v>17</v>
      </c>
      <c r="AM178" t="s">
        <v>16</v>
      </c>
      <c r="AN178">
        <v>79.400000000000006</v>
      </c>
      <c r="AV178" t="s">
        <v>29</v>
      </c>
      <c r="AW178">
        <v>79.400000000000006</v>
      </c>
      <c r="BD178" t="s">
        <v>15</v>
      </c>
      <c r="BE178">
        <v>79.400000000000006</v>
      </c>
      <c r="BL178" t="s">
        <v>17</v>
      </c>
      <c r="BM178">
        <v>79.400000000000006</v>
      </c>
    </row>
    <row r="179" spans="2:65" x14ac:dyDescent="0.25">
      <c r="B179" t="s">
        <v>18</v>
      </c>
      <c r="E179" t="s">
        <v>15</v>
      </c>
      <c r="I179" t="s">
        <v>16</v>
      </c>
      <c r="R179" t="s">
        <v>23</v>
      </c>
      <c r="Y179" t="s">
        <v>24</v>
      </c>
      <c r="AH179" t="s">
        <v>25</v>
      </c>
      <c r="AM179" t="s">
        <v>16</v>
      </c>
      <c r="AN179">
        <v>84.2</v>
      </c>
      <c r="AV179" t="s">
        <v>24</v>
      </c>
      <c r="AW179">
        <v>84.2</v>
      </c>
      <c r="BD179" t="s">
        <v>15</v>
      </c>
      <c r="BE179">
        <v>84.2</v>
      </c>
      <c r="BL179" t="s">
        <v>25</v>
      </c>
      <c r="BM179">
        <v>84.2</v>
      </c>
    </row>
    <row r="180" spans="2:65" x14ac:dyDescent="0.25">
      <c r="B180" t="s">
        <v>22</v>
      </c>
      <c r="E180" t="s">
        <v>32</v>
      </c>
      <c r="I180" t="s">
        <v>16</v>
      </c>
      <c r="R180" t="s">
        <v>13</v>
      </c>
      <c r="Y180" t="s">
        <v>29</v>
      </c>
      <c r="AH180" t="s">
        <v>25</v>
      </c>
      <c r="AM180" t="s">
        <v>16</v>
      </c>
      <c r="AN180">
        <v>79.599999999999994</v>
      </c>
      <c r="AV180" t="s">
        <v>29</v>
      </c>
      <c r="AW180">
        <v>79.599999999999994</v>
      </c>
      <c r="BD180" t="s">
        <v>32</v>
      </c>
      <c r="BE180">
        <v>79.599999999999994</v>
      </c>
      <c r="BL180" t="s">
        <v>25</v>
      </c>
      <c r="BM180">
        <v>79.599999999999994</v>
      </c>
    </row>
    <row r="181" spans="2:65" x14ac:dyDescent="0.25">
      <c r="B181" t="s">
        <v>22</v>
      </c>
      <c r="E181" t="s">
        <v>20</v>
      </c>
      <c r="I181" t="s">
        <v>31</v>
      </c>
      <c r="R181" t="s">
        <v>19</v>
      </c>
      <c r="Y181" t="s">
        <v>29</v>
      </c>
      <c r="AH181" t="s">
        <v>21</v>
      </c>
      <c r="AM181" t="s">
        <v>31</v>
      </c>
      <c r="AN181">
        <v>69</v>
      </c>
      <c r="AV181" t="s">
        <v>29</v>
      </c>
      <c r="AW181">
        <v>69</v>
      </c>
      <c r="BD181" t="s">
        <v>20</v>
      </c>
      <c r="BE181">
        <v>69</v>
      </c>
      <c r="BL181" t="s">
        <v>21</v>
      </c>
      <c r="BM181">
        <v>69</v>
      </c>
    </row>
    <row r="182" spans="2:65" x14ac:dyDescent="0.25">
      <c r="B182" t="s">
        <v>18</v>
      </c>
      <c r="E182" t="s">
        <v>32</v>
      </c>
      <c r="I182" t="s">
        <v>31</v>
      </c>
      <c r="R182" t="s">
        <v>28</v>
      </c>
      <c r="Y182" t="s">
        <v>29</v>
      </c>
      <c r="AH182" t="s">
        <v>25</v>
      </c>
      <c r="AM182" t="s">
        <v>31</v>
      </c>
      <c r="AN182">
        <v>86.4</v>
      </c>
      <c r="AV182" t="s">
        <v>29</v>
      </c>
      <c r="AW182">
        <v>86.4</v>
      </c>
      <c r="BD182" t="s">
        <v>32</v>
      </c>
      <c r="BE182">
        <v>86.4</v>
      </c>
      <c r="BL182" t="s">
        <v>25</v>
      </c>
      <c r="BM182">
        <v>86.4</v>
      </c>
    </row>
    <row r="183" spans="2:65" x14ac:dyDescent="0.25">
      <c r="B183" t="s">
        <v>22</v>
      </c>
      <c r="E183" t="s">
        <v>33</v>
      </c>
      <c r="I183" t="s">
        <v>31</v>
      </c>
      <c r="R183" t="s">
        <v>19</v>
      </c>
      <c r="Y183" t="s">
        <v>24</v>
      </c>
      <c r="AH183" t="s">
        <v>21</v>
      </c>
      <c r="AM183" t="s">
        <v>31</v>
      </c>
      <c r="AN183">
        <v>62.2</v>
      </c>
      <c r="AV183" t="s">
        <v>24</v>
      </c>
      <c r="AW183">
        <v>62.2</v>
      </c>
      <c r="BD183" t="s">
        <v>33</v>
      </c>
      <c r="BE183">
        <v>62.2</v>
      </c>
      <c r="BL183" t="s">
        <v>21</v>
      </c>
      <c r="BM183">
        <v>62.2</v>
      </c>
    </row>
    <row r="184" spans="2:65" x14ac:dyDescent="0.25">
      <c r="B184" t="s">
        <v>27</v>
      </c>
      <c r="E184" t="s">
        <v>33</v>
      </c>
      <c r="I184" t="s">
        <v>16</v>
      </c>
      <c r="R184" t="s">
        <v>13</v>
      </c>
      <c r="Y184" t="s">
        <v>14</v>
      </c>
      <c r="AH184" t="s">
        <v>17</v>
      </c>
      <c r="AM184" t="s">
        <v>16</v>
      </c>
      <c r="AN184">
        <v>50.4</v>
      </c>
      <c r="AV184" t="s">
        <v>14</v>
      </c>
      <c r="AW184">
        <v>50.4</v>
      </c>
      <c r="BD184" t="s">
        <v>33</v>
      </c>
      <c r="BE184">
        <v>50.4</v>
      </c>
      <c r="BL184" t="s">
        <v>17</v>
      </c>
      <c r="BM184">
        <v>50.4</v>
      </c>
    </row>
    <row r="185" spans="2:65" x14ac:dyDescent="0.25">
      <c r="B185" t="s">
        <v>22</v>
      </c>
      <c r="E185" t="s">
        <v>20</v>
      </c>
      <c r="I185" t="s">
        <v>31</v>
      </c>
      <c r="R185" t="s">
        <v>23</v>
      </c>
      <c r="Y185" t="s">
        <v>14</v>
      </c>
      <c r="AH185" t="s">
        <v>21</v>
      </c>
      <c r="AM185" t="s">
        <v>31</v>
      </c>
      <c r="AN185">
        <v>65.599999999999994</v>
      </c>
      <c r="AV185" t="s">
        <v>14</v>
      </c>
      <c r="AW185">
        <v>65.599999999999994</v>
      </c>
      <c r="BD185" t="s">
        <v>20</v>
      </c>
      <c r="BE185">
        <v>65.599999999999994</v>
      </c>
      <c r="BL185" t="s">
        <v>21</v>
      </c>
      <c r="BM185">
        <v>65.599999999999994</v>
      </c>
    </row>
    <row r="186" spans="2:65" x14ac:dyDescent="0.25">
      <c r="B186" t="s">
        <v>18</v>
      </c>
      <c r="E186" t="s">
        <v>15</v>
      </c>
      <c r="I186" t="s">
        <v>31</v>
      </c>
      <c r="R186" t="s">
        <v>28</v>
      </c>
      <c r="Y186" t="s">
        <v>24</v>
      </c>
      <c r="AH186" t="s">
        <v>21</v>
      </c>
      <c r="AM186" t="s">
        <v>31</v>
      </c>
      <c r="AN186">
        <v>92.2</v>
      </c>
      <c r="AV186" t="s">
        <v>24</v>
      </c>
      <c r="AW186">
        <v>92.2</v>
      </c>
      <c r="BD186" t="s">
        <v>15</v>
      </c>
      <c r="BE186">
        <v>92.2</v>
      </c>
      <c r="BL186" t="s">
        <v>21</v>
      </c>
      <c r="BM186">
        <v>92.2</v>
      </c>
    </row>
    <row r="187" spans="2:65" x14ac:dyDescent="0.25">
      <c r="B187" t="s">
        <v>22</v>
      </c>
      <c r="E187" t="s">
        <v>20</v>
      </c>
      <c r="I187" t="s">
        <v>31</v>
      </c>
      <c r="R187" t="s">
        <v>26</v>
      </c>
      <c r="Y187" t="s">
        <v>14</v>
      </c>
      <c r="AH187" t="s">
        <v>17</v>
      </c>
      <c r="AM187" t="s">
        <v>31</v>
      </c>
      <c r="AN187">
        <v>60</v>
      </c>
      <c r="AV187" t="s">
        <v>14</v>
      </c>
      <c r="AW187">
        <v>60</v>
      </c>
      <c r="BD187" t="s">
        <v>20</v>
      </c>
      <c r="BE187">
        <v>60</v>
      </c>
      <c r="BL187" t="s">
        <v>17</v>
      </c>
      <c r="BM187">
        <v>60</v>
      </c>
    </row>
    <row r="188" spans="2:65" x14ac:dyDescent="0.25">
      <c r="B188" t="s">
        <v>18</v>
      </c>
      <c r="E188" t="s">
        <v>32</v>
      </c>
      <c r="I188" t="s">
        <v>31</v>
      </c>
      <c r="R188" t="s">
        <v>19</v>
      </c>
      <c r="Y188" t="s">
        <v>14</v>
      </c>
      <c r="AH188" t="s">
        <v>17</v>
      </c>
      <c r="AM188" t="s">
        <v>31</v>
      </c>
      <c r="AN188">
        <v>81.599999999999994</v>
      </c>
      <c r="AV188" t="s">
        <v>14</v>
      </c>
      <c r="AW188">
        <v>81.599999999999994</v>
      </c>
      <c r="BD188" t="s">
        <v>32</v>
      </c>
      <c r="BE188">
        <v>81.599999999999994</v>
      </c>
      <c r="BL188" t="s">
        <v>17</v>
      </c>
      <c r="BM188">
        <v>81.599999999999994</v>
      </c>
    </row>
    <row r="189" spans="2:65" x14ac:dyDescent="0.25">
      <c r="B189" t="s">
        <v>22</v>
      </c>
      <c r="E189" t="s">
        <v>32</v>
      </c>
      <c r="I189" t="s">
        <v>31</v>
      </c>
      <c r="R189" t="s">
        <v>26</v>
      </c>
      <c r="Y189" t="s">
        <v>29</v>
      </c>
      <c r="AH189" t="s">
        <v>17</v>
      </c>
      <c r="AM189" t="s">
        <v>31</v>
      </c>
      <c r="AN189">
        <v>79.599999999999994</v>
      </c>
      <c r="AV189" t="s">
        <v>29</v>
      </c>
      <c r="AW189">
        <v>79.599999999999994</v>
      </c>
      <c r="BD189" t="s">
        <v>32</v>
      </c>
      <c r="BE189">
        <v>79.599999999999994</v>
      </c>
      <c r="BL189" t="s">
        <v>17</v>
      </c>
      <c r="BM189">
        <v>79.599999999999994</v>
      </c>
    </row>
    <row r="190" spans="2:65" x14ac:dyDescent="0.25">
      <c r="B190" t="s">
        <v>27</v>
      </c>
      <c r="E190" t="s">
        <v>33</v>
      </c>
      <c r="I190" t="s">
        <v>16</v>
      </c>
      <c r="R190" t="s">
        <v>23</v>
      </c>
      <c r="Y190" t="s">
        <v>14</v>
      </c>
      <c r="AH190" t="s">
        <v>25</v>
      </c>
      <c r="AM190" t="s">
        <v>16</v>
      </c>
      <c r="AN190">
        <v>49.6</v>
      </c>
      <c r="AV190" t="s">
        <v>14</v>
      </c>
      <c r="AW190">
        <v>49.6</v>
      </c>
      <c r="BD190" t="s">
        <v>33</v>
      </c>
      <c r="BE190">
        <v>49.6</v>
      </c>
      <c r="BL190" t="s">
        <v>25</v>
      </c>
      <c r="BM190">
        <v>49.6</v>
      </c>
    </row>
    <row r="191" spans="2:65" x14ac:dyDescent="0.25">
      <c r="B191" t="s">
        <v>18</v>
      </c>
      <c r="E191" t="s">
        <v>15</v>
      </c>
      <c r="I191" t="s">
        <v>16</v>
      </c>
      <c r="R191" t="s">
        <v>26</v>
      </c>
      <c r="Y191" t="s">
        <v>14</v>
      </c>
      <c r="AH191" t="s">
        <v>25</v>
      </c>
      <c r="AM191" t="s">
        <v>16</v>
      </c>
      <c r="AN191">
        <v>90</v>
      </c>
      <c r="AV191" t="s">
        <v>14</v>
      </c>
      <c r="AW191">
        <v>90</v>
      </c>
      <c r="BD191" t="s">
        <v>15</v>
      </c>
      <c r="BE191">
        <v>90</v>
      </c>
      <c r="BL191" t="s">
        <v>25</v>
      </c>
      <c r="BM191">
        <v>90</v>
      </c>
    </row>
    <row r="192" spans="2:65" x14ac:dyDescent="0.25">
      <c r="B192" t="s">
        <v>22</v>
      </c>
      <c r="E192" t="s">
        <v>33</v>
      </c>
      <c r="I192" t="s">
        <v>16</v>
      </c>
      <c r="R192" t="s">
        <v>13</v>
      </c>
      <c r="Y192" t="s">
        <v>24</v>
      </c>
      <c r="AH192" t="s">
        <v>21</v>
      </c>
      <c r="AM192" t="s">
        <v>16</v>
      </c>
      <c r="AN192">
        <v>64</v>
      </c>
      <c r="AV192" t="s">
        <v>24</v>
      </c>
      <c r="AW192">
        <v>64</v>
      </c>
      <c r="BD192" t="s">
        <v>33</v>
      </c>
      <c r="BE192">
        <v>64</v>
      </c>
      <c r="BL192" t="s">
        <v>21</v>
      </c>
      <c r="BM192">
        <v>64</v>
      </c>
    </row>
    <row r="193" spans="2:65" x14ac:dyDescent="0.25">
      <c r="B193" t="s">
        <v>22</v>
      </c>
      <c r="E193" t="s">
        <v>32</v>
      </c>
      <c r="I193" t="s">
        <v>31</v>
      </c>
      <c r="R193" t="s">
        <v>19</v>
      </c>
      <c r="Y193" t="s">
        <v>29</v>
      </c>
      <c r="AH193" t="s">
        <v>17</v>
      </c>
      <c r="AM193" t="s">
        <v>31</v>
      </c>
      <c r="AN193">
        <v>79</v>
      </c>
      <c r="AV193" t="s">
        <v>29</v>
      </c>
      <c r="AW193">
        <v>79</v>
      </c>
      <c r="BD193" t="s">
        <v>32</v>
      </c>
      <c r="BE193">
        <v>79</v>
      </c>
      <c r="BL193" t="s">
        <v>17</v>
      </c>
      <c r="BM193">
        <v>79</v>
      </c>
    </row>
    <row r="194" spans="2:65" x14ac:dyDescent="0.25">
      <c r="B194" t="s">
        <v>27</v>
      </c>
      <c r="E194" t="s">
        <v>33</v>
      </c>
      <c r="I194" t="s">
        <v>31</v>
      </c>
      <c r="R194" t="s">
        <v>13</v>
      </c>
      <c r="Y194" t="s">
        <v>29</v>
      </c>
      <c r="AH194" t="s">
        <v>17</v>
      </c>
      <c r="AM194" t="s">
        <v>31</v>
      </c>
      <c r="AN194">
        <v>49</v>
      </c>
      <c r="AV194" t="s">
        <v>29</v>
      </c>
      <c r="AW194">
        <v>49</v>
      </c>
      <c r="BD194" t="s">
        <v>33</v>
      </c>
      <c r="BE194">
        <v>49</v>
      </c>
      <c r="BL194" t="s">
        <v>17</v>
      </c>
      <c r="BM194">
        <v>49</v>
      </c>
    </row>
    <row r="195" spans="2:65" x14ac:dyDescent="0.25">
      <c r="B195" t="s">
        <v>27</v>
      </c>
      <c r="E195" t="s">
        <v>33</v>
      </c>
      <c r="I195" t="s">
        <v>31</v>
      </c>
      <c r="R195" t="s">
        <v>28</v>
      </c>
      <c r="Y195" t="s">
        <v>24</v>
      </c>
      <c r="AH195" t="s">
        <v>25</v>
      </c>
      <c r="AM195" t="s">
        <v>31</v>
      </c>
      <c r="AN195">
        <v>59.8</v>
      </c>
      <c r="AV195" t="s">
        <v>24</v>
      </c>
      <c r="AW195">
        <v>59.8</v>
      </c>
      <c r="BD195" t="s">
        <v>33</v>
      </c>
      <c r="BE195">
        <v>59.8</v>
      </c>
      <c r="BL195" t="s">
        <v>25</v>
      </c>
      <c r="BM195">
        <v>59.8</v>
      </c>
    </row>
    <row r="196" spans="2:65" x14ac:dyDescent="0.25">
      <c r="B196" t="s">
        <v>27</v>
      </c>
      <c r="E196" t="s">
        <v>33</v>
      </c>
      <c r="I196" t="s">
        <v>31</v>
      </c>
      <c r="R196" t="s">
        <v>26</v>
      </c>
      <c r="Y196" t="s">
        <v>24</v>
      </c>
      <c r="AH196" t="s">
        <v>25</v>
      </c>
      <c r="AM196" t="s">
        <v>31</v>
      </c>
      <c r="AN196">
        <v>51.2</v>
      </c>
      <c r="AV196" t="s">
        <v>24</v>
      </c>
      <c r="AW196">
        <v>51.2</v>
      </c>
      <c r="BD196" t="s">
        <v>33</v>
      </c>
      <c r="BE196">
        <v>51.2</v>
      </c>
      <c r="BL196" t="s">
        <v>25</v>
      </c>
      <c r="BM196">
        <v>51.2</v>
      </c>
    </row>
    <row r="197" spans="2:65" x14ac:dyDescent="0.25">
      <c r="B197" t="s">
        <v>22</v>
      </c>
      <c r="E197" t="s">
        <v>30</v>
      </c>
      <c r="I197" t="s">
        <v>16</v>
      </c>
      <c r="R197" t="s">
        <v>13</v>
      </c>
      <c r="Y197" t="s">
        <v>14</v>
      </c>
      <c r="AH197" t="s">
        <v>21</v>
      </c>
      <c r="AM197" t="s">
        <v>16</v>
      </c>
      <c r="AN197">
        <v>73.400000000000006</v>
      </c>
      <c r="AV197" t="s">
        <v>14</v>
      </c>
      <c r="AW197">
        <v>73.400000000000006</v>
      </c>
      <c r="BD197" t="s">
        <v>30</v>
      </c>
      <c r="BE197">
        <v>73.400000000000006</v>
      </c>
      <c r="BL197" t="s">
        <v>21</v>
      </c>
      <c r="BM197">
        <v>73.400000000000006</v>
      </c>
    </row>
    <row r="198" spans="2:65" x14ac:dyDescent="0.25">
      <c r="B198" t="s">
        <v>27</v>
      </c>
      <c r="E198" t="s">
        <v>33</v>
      </c>
      <c r="I198" t="s">
        <v>16</v>
      </c>
      <c r="R198" t="s">
        <v>26</v>
      </c>
      <c r="Y198" t="s">
        <v>29</v>
      </c>
      <c r="AH198" t="s">
        <v>21</v>
      </c>
      <c r="AM198" t="s">
        <v>16</v>
      </c>
      <c r="AN198">
        <v>53.4</v>
      </c>
      <c r="AV198" t="s">
        <v>29</v>
      </c>
      <c r="AW198">
        <v>53.4</v>
      </c>
      <c r="BD198" t="s">
        <v>33</v>
      </c>
      <c r="BE198">
        <v>53.4</v>
      </c>
      <c r="BL198" t="s">
        <v>21</v>
      </c>
      <c r="BM198">
        <v>53.4</v>
      </c>
    </row>
    <row r="199" spans="2:65" x14ac:dyDescent="0.25">
      <c r="B199" t="s">
        <v>22</v>
      </c>
      <c r="E199" t="s">
        <v>20</v>
      </c>
      <c r="I199" t="s">
        <v>16</v>
      </c>
      <c r="R199" t="s">
        <v>13</v>
      </c>
      <c r="Y199" t="s">
        <v>14</v>
      </c>
      <c r="AH199" t="s">
        <v>25</v>
      </c>
      <c r="AM199" t="s">
        <v>16</v>
      </c>
      <c r="AN199">
        <v>69.400000000000006</v>
      </c>
      <c r="AV199" t="s">
        <v>14</v>
      </c>
      <c r="AW199">
        <v>69.400000000000006</v>
      </c>
      <c r="BD199" t="s">
        <v>20</v>
      </c>
      <c r="BE199">
        <v>69.400000000000006</v>
      </c>
      <c r="BL199" t="s">
        <v>25</v>
      </c>
      <c r="BM199">
        <v>69.400000000000006</v>
      </c>
    </row>
    <row r="200" spans="2:65" x14ac:dyDescent="0.25">
      <c r="B200" t="s">
        <v>18</v>
      </c>
      <c r="E200" t="s">
        <v>32</v>
      </c>
      <c r="I200" t="s">
        <v>31</v>
      </c>
      <c r="R200" t="s">
        <v>13</v>
      </c>
      <c r="Y200" t="s">
        <v>14</v>
      </c>
      <c r="AH200" t="s">
        <v>21</v>
      </c>
      <c r="AM200" t="s">
        <v>31</v>
      </c>
      <c r="AN200">
        <v>85.8</v>
      </c>
      <c r="AV200" t="s">
        <v>14</v>
      </c>
      <c r="AW200">
        <v>85.8</v>
      </c>
      <c r="BD200" t="s">
        <v>32</v>
      </c>
      <c r="BE200">
        <v>85.8</v>
      </c>
      <c r="BL200" t="s">
        <v>21</v>
      </c>
      <c r="BM200">
        <v>85.8</v>
      </c>
    </row>
    <row r="201" spans="2:65" x14ac:dyDescent="0.25">
      <c r="B201" t="s">
        <v>22</v>
      </c>
      <c r="E201" t="s">
        <v>30</v>
      </c>
      <c r="I201" t="s">
        <v>16</v>
      </c>
      <c r="R201" t="s">
        <v>28</v>
      </c>
      <c r="Y201" t="s">
        <v>14</v>
      </c>
      <c r="AH201" t="s">
        <v>21</v>
      </c>
      <c r="AM201" t="s">
        <v>16</v>
      </c>
      <c r="AN201">
        <v>77.599999999999994</v>
      </c>
      <c r="AV201" t="s">
        <v>14</v>
      </c>
      <c r="AW201">
        <v>77.599999999999994</v>
      </c>
      <c r="BD201" t="s">
        <v>30</v>
      </c>
      <c r="BE201">
        <v>77.599999999999994</v>
      </c>
      <c r="BL201" t="s">
        <v>21</v>
      </c>
      <c r="BM201">
        <v>77.599999999999994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Диаграммы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uchenikovich uchenij</cp:lastModifiedBy>
  <dcterms:created xsi:type="dcterms:W3CDTF">2026-06-05T04:57:07Z</dcterms:created>
  <dcterms:modified xsi:type="dcterms:W3CDTF">2026-06-05T07:14:43Z</dcterms:modified>
</cp:coreProperties>
</file>